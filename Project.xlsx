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1b4cd2c3c4438d3/Desktop/"/>
    </mc:Choice>
  </mc:AlternateContent>
  <xr:revisionPtr revIDLastSave="2433" documentId="13_ncr:1_{E03F029F-B0E3-481D-8803-E996FC0C2C73}" xr6:coauthVersionLast="47" xr6:coauthVersionMax="47" xr10:uidLastSave="{75EDD97A-A04C-4C6D-A98C-58D7FE6DFE26}"/>
  <bookViews>
    <workbookView xWindow="-108" yWindow="456" windowWidth="23256" windowHeight="12612" xr2:uid="{00000000-000D-0000-FFFF-FFFF00000000}"/>
  </bookViews>
  <sheets>
    <sheet name="Dashboard" sheetId="1" r:id="rId1"/>
    <sheet name="Transactions" sheetId="2" r:id="rId2"/>
    <sheet name="Budget" sheetId="3" r:id="rId3"/>
    <sheet name="Monthly Summary" sheetId="4" r:id="rId4"/>
    <sheet name="Savings Goals" sheetId="5" r:id="rId5"/>
    <sheet name="Categories" sheetId="6" r:id="rId6"/>
  </sheets>
  <definedNames>
    <definedName name="data" localSheetId="2">Budget!$A$1:$F$12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G40" i="1"/>
  <c r="D40" i="1"/>
  <c r="A4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D4" i="1"/>
  <c r="A4" i="1"/>
  <c r="G4" i="1" s="1"/>
  <c r="J4" i="1" s="1"/>
  <c r="A42" i="1" s="1"/>
  <c r="F12" i="5"/>
  <c r="E12" i="5"/>
  <c r="D12" i="5"/>
  <c r="I11" i="5"/>
  <c r="H11" i="5"/>
  <c r="J11" i="5" s="1"/>
  <c r="I10" i="5"/>
  <c r="H10" i="5"/>
  <c r="J10" i="5" s="1"/>
  <c r="I9" i="5"/>
  <c r="H9" i="5"/>
  <c r="J9" i="5" s="1"/>
  <c r="I8" i="5"/>
  <c r="H8" i="5"/>
  <c r="J8" i="5" s="1"/>
  <c r="I7" i="5"/>
  <c r="I12" i="5" s="1"/>
  <c r="H7" i="5"/>
  <c r="J7" i="5" s="1"/>
  <c r="D4" i="5"/>
  <c r="B4" i="5"/>
  <c r="F2" i="4"/>
  <c r="C2" i="4"/>
  <c r="B2" i="4"/>
  <c r="A3" i="4"/>
  <c r="B13" i="3"/>
  <c r="C12" i="3"/>
  <c r="C19" i="1" s="1"/>
  <c r="C11" i="3"/>
  <c r="C18" i="1" s="1"/>
  <c r="C10" i="3"/>
  <c r="C17" i="1" s="1"/>
  <c r="C9" i="3"/>
  <c r="C16" i="1" s="1"/>
  <c r="C8" i="3"/>
  <c r="C15" i="1" s="1"/>
  <c r="C7" i="3"/>
  <c r="C14" i="1" s="1"/>
  <c r="C6" i="3"/>
  <c r="C13" i="1" s="1"/>
  <c r="C5" i="3"/>
  <c r="C12" i="1" s="1"/>
  <c r="C4" i="3"/>
  <c r="C11" i="1" s="1"/>
  <c r="C3" i="3"/>
  <c r="C10" i="1" s="1"/>
  <c r="C2" i="3"/>
  <c r="C9" i="1" s="1"/>
  <c r="C20" i="1" s="1"/>
  <c r="I171" i="2"/>
  <c r="H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H170" i="2"/>
  <c r="H169" i="2"/>
  <c r="H168" i="2"/>
  <c r="H167" i="2"/>
  <c r="J166" i="2"/>
  <c r="H166" i="2"/>
  <c r="H165" i="2"/>
  <c r="H164" i="2"/>
  <c r="H163" i="2"/>
  <c r="H162" i="2"/>
  <c r="H161" i="2"/>
  <c r="H160" i="2"/>
  <c r="H159" i="2"/>
  <c r="H158" i="2"/>
  <c r="H157" i="2"/>
  <c r="J156" i="2"/>
  <c r="H156" i="2"/>
  <c r="H155" i="2"/>
  <c r="H154" i="2"/>
  <c r="H153" i="2"/>
  <c r="H152" i="2"/>
  <c r="H151" i="2"/>
  <c r="H150" i="2"/>
  <c r="H149" i="2"/>
  <c r="J148" i="2"/>
  <c r="H148" i="2"/>
  <c r="H147" i="2"/>
  <c r="H146" i="2"/>
  <c r="H145" i="2"/>
  <c r="H144" i="2"/>
  <c r="H143" i="2"/>
  <c r="J142" i="2"/>
  <c r="H142" i="2"/>
  <c r="H141" i="2"/>
  <c r="H140" i="2"/>
  <c r="H139" i="2"/>
  <c r="H138" i="2"/>
  <c r="H137" i="2"/>
  <c r="J136" i="2"/>
  <c r="H136" i="2"/>
  <c r="H135" i="2"/>
  <c r="H134" i="2"/>
  <c r="H133" i="2"/>
  <c r="H132" i="2"/>
  <c r="H131" i="2"/>
  <c r="H130" i="2"/>
  <c r="H129" i="2"/>
  <c r="H128" i="2"/>
  <c r="H127" i="2"/>
  <c r="J126" i="2"/>
  <c r="H126" i="2"/>
  <c r="H125" i="2"/>
  <c r="H124" i="2"/>
  <c r="H123" i="2"/>
  <c r="H122" i="2"/>
  <c r="H121" i="2"/>
  <c r="H120" i="2"/>
  <c r="H119" i="2"/>
  <c r="J118" i="2"/>
  <c r="H118" i="2"/>
  <c r="H117" i="2"/>
  <c r="H116" i="2"/>
  <c r="H115" i="2"/>
  <c r="H114" i="2"/>
  <c r="H113" i="2"/>
  <c r="J112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J96" i="2"/>
  <c r="H96" i="2"/>
  <c r="H95" i="2"/>
  <c r="H94" i="2"/>
  <c r="H93" i="2"/>
  <c r="H92" i="2"/>
  <c r="H91" i="2"/>
  <c r="H90" i="2"/>
  <c r="H89" i="2"/>
  <c r="J88" i="2"/>
  <c r="H88" i="2"/>
  <c r="H87" i="2"/>
  <c r="H86" i="2"/>
  <c r="H85" i="2"/>
  <c r="H84" i="2"/>
  <c r="H83" i="2"/>
  <c r="J82" i="2"/>
  <c r="H82" i="2"/>
  <c r="H81" i="2"/>
  <c r="H80" i="2"/>
  <c r="H79" i="2"/>
  <c r="H78" i="2"/>
  <c r="H77" i="2"/>
  <c r="J76" i="2"/>
  <c r="H76" i="2"/>
  <c r="H75" i="2"/>
  <c r="H74" i="2"/>
  <c r="H73" i="2"/>
  <c r="H72" i="2"/>
  <c r="H71" i="2"/>
  <c r="H70" i="2"/>
  <c r="H69" i="2"/>
  <c r="H68" i="2"/>
  <c r="H67" i="2"/>
  <c r="J66" i="2"/>
  <c r="H66" i="2"/>
  <c r="H65" i="2"/>
  <c r="H64" i="2"/>
  <c r="H63" i="2"/>
  <c r="H62" i="2"/>
  <c r="J58" i="2"/>
  <c r="J52" i="2"/>
  <c r="J38" i="2"/>
  <c r="J32" i="2"/>
  <c r="J26" i="2"/>
  <c r="J15" i="2"/>
  <c r="J8" i="2"/>
  <c r="J2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12" i="5" l="1"/>
  <c r="B20" i="1"/>
  <c r="D20" i="1" s="1"/>
  <c r="D2" i="4"/>
  <c r="B3" i="4"/>
  <c r="C3" i="4"/>
  <c r="F3" i="4"/>
  <c r="A4" i="4"/>
  <c r="E20" i="1"/>
  <c r="F20" i="1"/>
  <c r="E12" i="3"/>
  <c r="E19" i="1" s="1"/>
  <c r="D12" i="3"/>
  <c r="D19" i="1" s="1"/>
  <c r="F12" i="3"/>
  <c r="F19" i="1" s="1"/>
  <c r="F11" i="3"/>
  <c r="F18" i="1" s="1"/>
  <c r="D11" i="3"/>
  <c r="D18" i="1" s="1"/>
  <c r="E11" i="3"/>
  <c r="E18" i="1" s="1"/>
  <c r="F10" i="3"/>
  <c r="F17" i="1" s="1"/>
  <c r="E10" i="3"/>
  <c r="E17" i="1" s="1"/>
  <c r="D10" i="3"/>
  <c r="D17" i="1" s="1"/>
  <c r="E9" i="3"/>
  <c r="E16" i="1" s="1"/>
  <c r="D9" i="3"/>
  <c r="D16" i="1" s="1"/>
  <c r="F9" i="3"/>
  <c r="F16" i="1" s="1"/>
  <c r="F8" i="3"/>
  <c r="F15" i="1" s="1"/>
  <c r="E8" i="3"/>
  <c r="E15" i="1" s="1"/>
  <c r="D8" i="3"/>
  <c r="D15" i="1" s="1"/>
  <c r="F7" i="3"/>
  <c r="E7" i="3"/>
  <c r="E14" i="1" s="1"/>
  <c r="D7" i="3"/>
  <c r="D14" i="1" s="1"/>
  <c r="F6" i="3"/>
  <c r="E6" i="3"/>
  <c r="E13" i="1" s="1"/>
  <c r="D6" i="3"/>
  <c r="D13" i="1" s="1"/>
  <c r="F5" i="3"/>
  <c r="F12" i="1" s="1"/>
  <c r="E5" i="3"/>
  <c r="E12" i="1" s="1"/>
  <c r="D5" i="3"/>
  <c r="D12" i="1" s="1"/>
  <c r="D4" i="3"/>
  <c r="D11" i="1" s="1"/>
  <c r="E4" i="3"/>
  <c r="E11" i="1" s="1"/>
  <c r="F4" i="3"/>
  <c r="F11" i="1" s="1"/>
  <c r="F3" i="3"/>
  <c r="F10" i="1" s="1"/>
  <c r="D3" i="3"/>
  <c r="D10" i="1" s="1"/>
  <c r="E3" i="3"/>
  <c r="E10" i="1" s="1"/>
  <c r="F2" i="3"/>
  <c r="F9" i="1" s="1"/>
  <c r="E2" i="3"/>
  <c r="E9" i="1" s="1"/>
  <c r="D2" i="3"/>
  <c r="D9" i="1" s="1"/>
  <c r="C13" i="3"/>
  <c r="H4" i="5"/>
  <c r="F4" i="5"/>
  <c r="J167" i="2"/>
  <c r="J164" i="2"/>
  <c r="J152" i="2"/>
  <c r="J165" i="2"/>
  <c r="J157" i="2"/>
  <c r="J160" i="2"/>
  <c r="J170" i="2"/>
  <c r="J140" i="2"/>
  <c r="J171" i="2"/>
  <c r="E2" i="4" l="1"/>
  <c r="G3" i="4"/>
  <c r="A5" i="4"/>
  <c r="C4" i="4"/>
  <c r="B4" i="4"/>
  <c r="F4" i="4"/>
  <c r="D3" i="4"/>
  <c r="F14" i="1"/>
  <c r="J151" i="2"/>
  <c r="J169" i="2"/>
  <c r="F13" i="1"/>
  <c r="J40" i="1" s="1"/>
  <c r="D13" i="3"/>
  <c r="M4" i="1" s="1"/>
  <c r="E13" i="3"/>
  <c r="F13" i="3"/>
  <c r="J168" i="2"/>
  <c r="J139" i="2"/>
  <c r="J159" i="2"/>
  <c r="J163" i="2"/>
  <c r="J162" i="2"/>
  <c r="J154" i="2"/>
  <c r="J146" i="2"/>
  <c r="J161" i="2"/>
  <c r="J155" i="2"/>
  <c r="J158" i="2"/>
  <c r="J129" i="2"/>
  <c r="J147" i="2"/>
  <c r="J153" i="2"/>
  <c r="J125" i="2"/>
  <c r="J150" i="2"/>
  <c r="J134" i="2"/>
  <c r="J149" i="2"/>
  <c r="J131" i="2"/>
  <c r="J121" i="2"/>
  <c r="J144" i="2"/>
  <c r="J145" i="2"/>
  <c r="J135" i="2"/>
  <c r="J117" i="2"/>
  <c r="J143" i="2"/>
  <c r="J138" i="2"/>
  <c r="J141" i="2"/>
  <c r="J137" i="2"/>
  <c r="J81" i="2"/>
  <c r="J109" i="2"/>
  <c r="J132" i="2"/>
  <c r="J133" i="2"/>
  <c r="J124" i="2"/>
  <c r="J119" i="2"/>
  <c r="J130" i="2"/>
  <c r="J128" i="2"/>
  <c r="J115" i="2"/>
  <c r="J127" i="2"/>
  <c r="J101" i="2"/>
  <c r="J122" i="2"/>
  <c r="J123" i="2"/>
  <c r="J98" i="2"/>
  <c r="J108" i="2"/>
  <c r="J120" i="2"/>
  <c r="J114" i="2"/>
  <c r="J91" i="2"/>
  <c r="J116" i="2"/>
  <c r="J103" i="2"/>
  <c r="J106" i="2"/>
  <c r="J113" i="2"/>
  <c r="J94" i="2"/>
  <c r="J110" i="2"/>
  <c r="J111" i="2"/>
  <c r="J107" i="2"/>
  <c r="J104" i="2"/>
  <c r="J80" i="2"/>
  <c r="J99" i="2"/>
  <c r="J105" i="2"/>
  <c r="J86" i="2"/>
  <c r="J102" i="2"/>
  <c r="J95" i="2"/>
  <c r="J92" i="2"/>
  <c r="J100" i="2"/>
  <c r="J78" i="2"/>
  <c r="J97" i="2"/>
  <c r="J87" i="2"/>
  <c r="J70" i="2"/>
  <c r="J93" i="2"/>
  <c r="J90" i="2"/>
  <c r="J69" i="2"/>
  <c r="J89" i="2"/>
  <c r="J73" i="2"/>
  <c r="J84" i="2"/>
  <c r="J85" i="2"/>
  <c r="J75" i="2"/>
  <c r="J64" i="2"/>
  <c r="J83" i="2"/>
  <c r="J77" i="2"/>
  <c r="J79" i="2"/>
  <c r="J74" i="2"/>
  <c r="J72" i="2"/>
  <c r="J71" i="2"/>
  <c r="J67" i="2"/>
  <c r="J68" i="2"/>
  <c r="J65" i="2"/>
  <c r="J62" i="2"/>
  <c r="J63" i="2"/>
  <c r="J14" i="2"/>
  <c r="J54" i="2"/>
  <c r="J20" i="2"/>
  <c r="J51" i="2"/>
  <c r="J24" i="2"/>
  <c r="J4" i="2"/>
  <c r="J47" i="2"/>
  <c r="J10" i="2"/>
  <c r="J34" i="2"/>
  <c r="J42" i="2"/>
  <c r="J30" i="2"/>
  <c r="J55" i="2"/>
  <c r="J35" i="2"/>
  <c r="J6" i="2"/>
  <c r="J44" i="2"/>
  <c r="J17" i="2"/>
  <c r="J27" i="2"/>
  <c r="J18" i="2"/>
  <c r="J45" i="2"/>
  <c r="J37" i="2"/>
  <c r="J7" i="2"/>
  <c r="J29" i="2"/>
  <c r="J57" i="2"/>
  <c r="J41" i="2"/>
  <c r="J61" i="2"/>
  <c r="J11" i="2"/>
  <c r="J59" i="2"/>
  <c r="J50" i="2"/>
  <c r="J39" i="2"/>
  <c r="J13" i="2"/>
  <c r="J23" i="2"/>
  <c r="J48" i="2"/>
  <c r="J21" i="2"/>
  <c r="J53" i="2"/>
  <c r="J49" i="2"/>
  <c r="J46" i="2"/>
  <c r="J43" i="2"/>
  <c r="J16" i="2"/>
  <c r="J40" i="2"/>
  <c r="J36" i="2"/>
  <c r="J33" i="2"/>
  <c r="J31" i="2"/>
  <c r="J28" i="2"/>
  <c r="J25" i="2"/>
  <c r="J22" i="2"/>
  <c r="J19" i="2"/>
  <c r="J12" i="2"/>
  <c r="J9" i="2"/>
  <c r="J5" i="2"/>
  <c r="J3" i="2"/>
  <c r="J60" i="2"/>
  <c r="J56" i="2"/>
  <c r="A6" i="4" l="1"/>
  <c r="B5" i="4"/>
  <c r="C5" i="4"/>
  <c r="F5" i="4"/>
  <c r="D4" i="4"/>
  <c r="G4" i="4"/>
  <c r="E3" i="4"/>
  <c r="A7" i="4" l="1"/>
  <c r="B6" i="4"/>
  <c r="C6" i="4"/>
  <c r="G6" i="4" s="1"/>
  <c r="F6" i="4"/>
  <c r="D5" i="4"/>
  <c r="G5" i="4"/>
  <c r="E4" i="4"/>
  <c r="A8" i="4" l="1"/>
  <c r="C7" i="4"/>
  <c r="G7" i="4" s="1"/>
  <c r="B7" i="4"/>
  <c r="F7" i="4"/>
  <c r="D6" i="4"/>
  <c r="E6" i="4" s="1"/>
  <c r="E5" i="4"/>
  <c r="D7" i="4" l="1"/>
  <c r="E7" i="4" s="1"/>
  <c r="A9" i="4"/>
  <c r="B8" i="4"/>
  <c r="C8" i="4"/>
  <c r="G8" i="4" s="1"/>
  <c r="F8" i="4"/>
  <c r="D8" i="4" l="1"/>
  <c r="E8" i="4" s="1"/>
  <c r="B9" i="4"/>
  <c r="C9" i="4"/>
  <c r="G9" i="4" s="1"/>
  <c r="F9" i="4"/>
  <c r="A10" i="4"/>
  <c r="D9" i="4" l="1"/>
  <c r="E9" i="4" s="1"/>
  <c r="A11" i="4"/>
  <c r="B10" i="4"/>
  <c r="C10" i="4"/>
  <c r="G10" i="4" s="1"/>
  <c r="F10" i="4"/>
  <c r="A12" i="4" l="1"/>
  <c r="B11" i="4"/>
  <c r="D11" i="4" s="1"/>
  <c r="E11" i="4" s="1"/>
  <c r="F11" i="4"/>
  <c r="C11" i="4"/>
  <c r="G11" i="4" s="1"/>
  <c r="D10" i="4"/>
  <c r="E10" i="4" s="1"/>
  <c r="C12" i="4" l="1"/>
  <c r="G12" i="4" s="1"/>
  <c r="F12" i="4"/>
  <c r="B12" i="4"/>
  <c r="A13" i="4"/>
  <c r="F13" i="4" l="1"/>
  <c r="F14" i="4" s="1"/>
  <c r="C13" i="4"/>
  <c r="B13" i="4"/>
  <c r="D12" i="4"/>
  <c r="E12" i="4" s="1"/>
  <c r="C14" i="4" l="1"/>
  <c r="G13" i="4"/>
  <c r="B14" i="4"/>
  <c r="D13" i="4"/>
  <c r="D14" i="4" l="1"/>
  <c r="E14" i="4" s="1"/>
  <c r="E13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name="data1" type="6" refreshedVersion="6" background="1" saveData="1">
    <textPr sourceFile="C:\Users\student\Desktop\data.csv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<sst xmlns="http://schemas.openxmlformats.org/spreadsheetml/2006/main" count="982" uniqueCount="406">
  <si>
    <t>Date</t>
  </si>
  <si>
    <t>Transaction ID</t>
  </si>
  <si>
    <t>Type</t>
  </si>
  <si>
    <t>Category</t>
  </si>
  <si>
    <t>Description</t>
  </si>
  <si>
    <t>Amount</t>
  </si>
  <si>
    <t>Payment Method</t>
  </si>
  <si>
    <t>TX001</t>
  </si>
  <si>
    <t>Income</t>
  </si>
  <si>
    <t>Pocket Money</t>
  </si>
  <si>
    <t>Monthly allowance from parents</t>
  </si>
  <si>
    <t>UPI</t>
  </si>
  <si>
    <t>TX002</t>
  </si>
  <si>
    <t>Expense</t>
  </si>
  <si>
    <t>Food</t>
  </si>
  <si>
    <t>Breakfast and snacks</t>
  </si>
  <si>
    <t>TX003</t>
  </si>
  <si>
    <t>Travel</t>
  </si>
  <si>
    <t>Bus fare</t>
  </si>
  <si>
    <t>Cash</t>
  </si>
  <si>
    <t>TX004</t>
  </si>
  <si>
    <t>Lunch at college</t>
  </si>
  <si>
    <t>TX005</t>
  </si>
  <si>
    <t>Stationery</t>
  </si>
  <si>
    <t>Notebooks and pens</t>
  </si>
  <si>
    <t>TX006</t>
  </si>
  <si>
    <t>Entertainment</t>
  </si>
  <si>
    <t>Movie ticket</t>
  </si>
  <si>
    <t>TX007</t>
  </si>
  <si>
    <t>Gift</t>
  </si>
  <si>
    <t>Money received from relative</t>
  </si>
  <si>
    <t>TX008</t>
  </si>
  <si>
    <t>Snacks with friends</t>
  </si>
  <si>
    <t>TX009</t>
  </si>
  <si>
    <t>Auto fare</t>
  </si>
  <si>
    <t>TX010</t>
  </si>
  <si>
    <t>Mobile</t>
  </si>
  <si>
    <t>Mobile recharge</t>
  </si>
  <si>
    <t>TX011</t>
  </si>
  <si>
    <t>Dinner</t>
  </si>
  <si>
    <t>TX012</t>
  </si>
  <si>
    <t>Shopping</t>
  </si>
  <si>
    <t>T-shirt</t>
  </si>
  <si>
    <t>TX013</t>
  </si>
  <si>
    <t>TX014</t>
  </si>
  <si>
    <t>Extra allowance</t>
  </si>
  <si>
    <t>TX015</t>
  </si>
  <si>
    <t>Lunch</t>
  </si>
  <si>
    <t>TX016</t>
  </si>
  <si>
    <t>Education</t>
  </si>
  <si>
    <t>Printing and photocopies</t>
  </si>
  <si>
    <t>TX017</t>
  </si>
  <si>
    <t>Online game purchase</t>
  </si>
  <si>
    <t>TX018</t>
  </si>
  <si>
    <t>Snacks</t>
  </si>
  <si>
    <t>TX019</t>
  </si>
  <si>
    <t>Bus and auto</t>
  </si>
  <si>
    <t>TX020</t>
  </si>
  <si>
    <t>Personal Care</t>
  </si>
  <si>
    <t>Toiletries</t>
  </si>
  <si>
    <t>TX021</t>
  </si>
  <si>
    <t>TX022</t>
  </si>
  <si>
    <t>Accessories</t>
  </si>
  <si>
    <t>TX023</t>
  </si>
  <si>
    <t>TX024</t>
  </si>
  <si>
    <t>Meal with friends</t>
  </si>
  <si>
    <t>TX025</t>
  </si>
  <si>
    <t>Savings Interest</t>
  </si>
  <si>
    <t>Interest received</t>
  </si>
  <si>
    <t>Bank</t>
  </si>
  <si>
    <t>TX026</t>
  </si>
  <si>
    <t>Assignment materials</t>
  </si>
  <si>
    <t>TX027</t>
  </si>
  <si>
    <t>TX028</t>
  </si>
  <si>
    <t>Music subscription</t>
  </si>
  <si>
    <t>TX029</t>
  </si>
  <si>
    <t>TX030</t>
  </si>
  <si>
    <t>TX031</t>
  </si>
  <si>
    <t>February allowance</t>
  </si>
  <si>
    <t>TX032</t>
  </si>
  <si>
    <t>Breakfast</t>
  </si>
  <si>
    <t>TX033</t>
  </si>
  <si>
    <t>TX034</t>
  </si>
  <si>
    <t>Files and pens</t>
  </si>
  <si>
    <t>TX035</t>
  </si>
  <si>
    <t>TX036</t>
  </si>
  <si>
    <t>Movie and refreshments</t>
  </si>
  <si>
    <t>TX037</t>
  </si>
  <si>
    <t>Birthday gift money</t>
  </si>
  <si>
    <t>TX038</t>
  </si>
  <si>
    <t>Shoes</t>
  </si>
  <si>
    <t>TX039</t>
  </si>
  <si>
    <t>TX040</t>
  </si>
  <si>
    <t>Data recharge</t>
  </si>
  <si>
    <t>TX041</t>
  </si>
  <si>
    <t>TX042</t>
  </si>
  <si>
    <t>TX043</t>
  </si>
  <si>
    <t>Lab record materials</t>
  </si>
  <si>
    <t>TX044</t>
  </si>
  <si>
    <t>Valentine gift for friend</t>
  </si>
  <si>
    <t>TX045</t>
  </si>
  <si>
    <t>Dinner with friends</t>
  </si>
  <si>
    <t>TX046</t>
  </si>
  <si>
    <t>TX047</t>
  </si>
  <si>
    <t>Haircut</t>
  </si>
  <si>
    <t>TX048</t>
  </si>
  <si>
    <t>TX049</t>
  </si>
  <si>
    <t>College accessories</t>
  </si>
  <si>
    <t>TX050</t>
  </si>
  <si>
    <t>TX051</t>
  </si>
  <si>
    <t>March allowance</t>
  </si>
  <si>
    <t>TX052</t>
  </si>
  <si>
    <t>Breakfast and tea</t>
  </si>
  <si>
    <t>TX053</t>
  </si>
  <si>
    <t>TX054</t>
  </si>
  <si>
    <t>Project notebook</t>
  </si>
  <si>
    <t>TX055</t>
  </si>
  <si>
    <t>TX056</t>
  </si>
  <si>
    <t>Game subscription</t>
  </si>
  <si>
    <t>TX057</t>
  </si>
  <si>
    <t>Part-time Work</t>
  </si>
  <si>
    <t>Weekend tutoring</t>
  </si>
  <si>
    <t>TX058</t>
  </si>
  <si>
    <t>Clothes</t>
  </si>
  <si>
    <t>TX059</t>
  </si>
  <si>
    <t>TX060</t>
  </si>
  <si>
    <t>Month</t>
  </si>
  <si>
    <t>Running Balance</t>
  </si>
  <si>
    <t>Budget Status</t>
  </si>
  <si>
    <t>Budget Usage (%)</t>
  </si>
  <si>
    <t>Status</t>
  </si>
  <si>
    <t>Health</t>
  </si>
  <si>
    <t>Gifts</t>
  </si>
  <si>
    <t>Other</t>
  </si>
  <si>
    <t>Monthly Budget</t>
  </si>
  <si>
    <t>Actual Spending</t>
  </si>
  <si>
    <t>Remaining Budget</t>
  </si>
  <si>
    <t>Total Income</t>
  </si>
  <si>
    <t>Total Expenses</t>
  </si>
  <si>
    <t>Net Savings</t>
  </si>
  <si>
    <t>Savings Rate</t>
  </si>
  <si>
    <t>Transaction Count</t>
  </si>
  <si>
    <t>Expense Change</t>
  </si>
  <si>
    <t>TX061</t>
  </si>
  <si>
    <t>Bus and auto fare</t>
  </si>
  <si>
    <t>TX062</t>
  </si>
  <si>
    <t>College canteen lunch</t>
  </si>
  <si>
    <t>TX063</t>
  </si>
  <si>
    <t>Highlighters and sticky notes</t>
  </si>
  <si>
    <t>TX064</t>
  </si>
  <si>
    <t>Evening snacks with friends</t>
  </si>
  <si>
    <t>TX065</t>
  </si>
  <si>
    <t>Mid-month allowance bonus</t>
  </si>
  <si>
    <t>TX066</t>
  </si>
  <si>
    <t>TX067</t>
  </si>
  <si>
    <t>Lunch at cafe</t>
  </si>
  <si>
    <t>TX068</t>
  </si>
  <si>
    <t>Sem exam photocopying &amp; bind</t>
  </si>
  <si>
    <t>TX069</t>
  </si>
  <si>
    <t>Skincare &amp; toiletries</t>
  </si>
  <si>
    <t>TX070</t>
  </si>
  <si>
    <t>Pizza treat with friends</t>
  </si>
  <si>
    <t>TX071</t>
  </si>
  <si>
    <t>Metro and rickshaw</t>
  </si>
  <si>
    <t>TX072</t>
  </si>
  <si>
    <t>Book and stationery holder</t>
  </si>
  <si>
    <t>TX073</t>
  </si>
  <si>
    <t>Breakfast and juice</t>
  </si>
  <si>
    <t>TX074</t>
  </si>
  <si>
    <t>Movie ticket (weekend)</t>
  </si>
  <si>
    <t>TX075</t>
  </si>
  <si>
    <t>Quarterly bank interest</t>
  </si>
  <si>
    <t>TX076</t>
  </si>
  <si>
    <t>TX077</t>
  </si>
  <si>
    <t>First aid &amp; pain relief meds</t>
  </si>
  <si>
    <t>TX078</t>
  </si>
  <si>
    <t>Dinner with roommates</t>
  </si>
  <si>
    <t>TX079</t>
  </si>
  <si>
    <t>Friend's birthday gift</t>
  </si>
  <si>
    <t>TX080</t>
  </si>
  <si>
    <t>Laundry &amp; dry cleaning</t>
  </si>
  <si>
    <t>TX081</t>
  </si>
  <si>
    <t>April monthly allowance</t>
  </si>
  <si>
    <t>TX082</t>
  </si>
  <si>
    <t>Breakfast and coffee</t>
  </si>
  <si>
    <t>TX083</t>
  </si>
  <si>
    <t>Monthly bus pass recharge</t>
  </si>
  <si>
    <t>TX084</t>
  </si>
  <si>
    <t>College lunch</t>
  </si>
  <si>
    <t>TX085</t>
  </si>
  <si>
    <t>Exam answer sheets &amp; pens</t>
  </si>
  <si>
    <t>TX086</t>
  </si>
  <si>
    <t>Streaming subscription</t>
  </si>
  <si>
    <t>TX087</t>
  </si>
  <si>
    <t>Math tutoring sessions</t>
  </si>
  <si>
    <t>TX088</t>
  </si>
  <si>
    <t>Dinner at mess/dhaba</t>
  </si>
  <si>
    <t>TX089</t>
  </si>
  <si>
    <t>Auto fare (rainy day)</t>
  </si>
  <si>
    <t>TX090</t>
  </si>
  <si>
    <t>Monthly prepaid pack</t>
  </si>
  <si>
    <t>TX091</t>
  </si>
  <si>
    <t>Summer t-shirt</t>
  </si>
  <si>
    <t>TX092</t>
  </si>
  <si>
    <t>Snacks and cold beverage</t>
  </si>
  <si>
    <t>TX093</t>
  </si>
  <si>
    <t>Project poster printing</t>
  </si>
  <si>
    <t>TX094</t>
  </si>
  <si>
    <t>Metro tokens</t>
  </si>
  <si>
    <t>TX095</t>
  </si>
  <si>
    <t>Festival gift from grandparents</t>
  </si>
  <si>
    <t>TX096</t>
  </si>
  <si>
    <t>Lunch at campus canteen</t>
  </si>
  <si>
    <t>TX097</t>
  </si>
  <si>
    <t>Haircut and grooming</t>
  </si>
  <si>
    <t>TX098</t>
  </si>
  <si>
    <t>Bowling and snacks</t>
  </si>
  <si>
    <t>TX099</t>
  </si>
  <si>
    <t>Ice cream treat with friends</t>
  </si>
  <si>
    <t>TX100</t>
  </si>
  <si>
    <t>Multivitamins &amp; eyedrops</t>
  </si>
  <si>
    <t>TX101</t>
  </si>
  <si>
    <t>Breakfast and sandwich</t>
  </si>
  <si>
    <t>TX102</t>
  </si>
  <si>
    <t>Phone case &amp; screen guard</t>
  </si>
  <si>
    <t>TX103</t>
  </si>
  <si>
    <t>Auto fare to library</t>
  </si>
  <si>
    <t>TX104</t>
  </si>
  <si>
    <t>Dinner with study group</t>
  </si>
  <si>
    <t>TX105</t>
  </si>
  <si>
    <t>Notebooks for semester</t>
  </si>
  <si>
    <t>TX106</t>
  </si>
  <si>
    <t>Chai and samosa break</t>
  </si>
  <si>
    <t>TX107</t>
  </si>
  <si>
    <t>Music app subscription</t>
  </si>
  <si>
    <t>TX108</t>
  </si>
  <si>
    <t>Farewell card &amp; chocolate</t>
  </si>
  <si>
    <t>TX109</t>
  </si>
  <si>
    <t>TX110</t>
  </si>
  <si>
    <t>End of month dinner</t>
  </si>
  <si>
    <t>TX111</t>
  </si>
  <si>
    <t>May monthly allowance</t>
  </si>
  <si>
    <t>TX112</t>
  </si>
  <si>
    <t>TX113</t>
  </si>
  <si>
    <t>Bus pass renewal</t>
  </si>
  <si>
    <t>TX114</t>
  </si>
  <si>
    <t>Online mock test series</t>
  </si>
  <si>
    <t>TX115</t>
  </si>
  <si>
    <t>Lunch at food court</t>
  </si>
  <si>
    <t>TX116</t>
  </si>
  <si>
    <t>Correction pen &amp; markers</t>
  </si>
  <si>
    <t>TX117</t>
  </si>
  <si>
    <t>Content writing gig</t>
  </si>
  <si>
    <t>TX118</t>
  </si>
  <si>
    <t>Sneakers discount sale</t>
  </si>
  <si>
    <t>TX119</t>
  </si>
  <si>
    <t>Snacks with classmates</t>
  </si>
  <si>
    <t>TX120</t>
  </si>
  <si>
    <t>Prepaid recharge</t>
  </si>
  <si>
    <t>TX121</t>
  </si>
  <si>
    <t>Cab fare (group split)</t>
  </si>
  <si>
    <t>TX122</t>
  </si>
  <si>
    <t>TX123</t>
  </si>
  <si>
    <t>Movie ticket (IMAX)</t>
  </si>
  <si>
    <t>TX124</t>
  </si>
  <si>
    <t>Sunscreen &amp; deodorant</t>
  </si>
  <si>
    <t>TX125</t>
  </si>
  <si>
    <t>Project work allowance</t>
  </si>
  <si>
    <t>TX126</t>
  </si>
  <si>
    <t>TX127</t>
  </si>
  <si>
    <t>TX128</t>
  </si>
  <si>
    <t>Dental checkup &amp; paste</t>
  </si>
  <si>
    <t>TX129</t>
  </si>
  <si>
    <t>Juice and snacks</t>
  </si>
  <si>
    <t>TX130</t>
  </si>
  <si>
    <t>Reference textbook</t>
  </si>
  <si>
    <t>TX131</t>
  </si>
  <si>
    <t>TX132</t>
  </si>
  <si>
    <t>Campus cafe lunch</t>
  </si>
  <si>
    <t>TX133</t>
  </si>
  <si>
    <t>Backpack repair &amp; strap</t>
  </si>
  <si>
    <t>TX134</t>
  </si>
  <si>
    <t>Gaming cafe with buddies</t>
  </si>
  <si>
    <t>TX135</t>
  </si>
  <si>
    <t>Monthly interest credit</t>
  </si>
  <si>
    <t>TX136</t>
  </si>
  <si>
    <t>Evening street food</t>
  </si>
  <si>
    <t>TX137</t>
  </si>
  <si>
    <t>TX138</t>
  </si>
  <si>
    <t>Mother's Day token gift</t>
  </si>
  <si>
    <t>TX139</t>
  </si>
  <si>
    <t>College ID card re-issue</t>
  </si>
  <si>
    <t>TX140</t>
  </si>
  <si>
    <t>Dinner celebration</t>
  </si>
  <si>
    <t>TX141</t>
  </si>
  <si>
    <t>June monthly allowance</t>
  </si>
  <si>
    <t>TX142</t>
  </si>
  <si>
    <t>Breakfast and fruit juice</t>
  </si>
  <si>
    <t>TX143</t>
  </si>
  <si>
    <t>Metro card smart recharge</t>
  </si>
  <si>
    <t>TX144</t>
  </si>
  <si>
    <t>TX145</t>
  </si>
  <si>
    <t>Drafting tools and paper</t>
  </si>
  <si>
    <t>TX146</t>
  </si>
  <si>
    <t>OTT subscription shared</t>
  </si>
  <si>
    <t>TX147</t>
  </si>
  <si>
    <t>Website bug testing stipend</t>
  </si>
  <si>
    <t>TX148</t>
  </si>
  <si>
    <t>Snacks and coffee</t>
  </si>
  <si>
    <t>TX149</t>
  </si>
  <si>
    <t>TX150</t>
  </si>
  <si>
    <t>Prepaid recharge pack</t>
  </si>
  <si>
    <t>TX151</t>
  </si>
  <si>
    <t>Certification exam registration</t>
  </si>
  <si>
    <t>TX152</t>
  </si>
  <si>
    <t>Lunch with project team</t>
  </si>
  <si>
    <t>TX153</t>
  </si>
  <si>
    <t>Cotton shirts &amp; pants</t>
  </si>
  <si>
    <t>TX154</t>
  </si>
  <si>
    <t>TX155</t>
  </si>
  <si>
    <t>Good grades reward from uncle</t>
  </si>
  <si>
    <t>TX156</t>
  </si>
  <si>
    <t>Shaving kit &amp; hair styling</t>
  </si>
  <si>
    <t>TX157</t>
  </si>
  <si>
    <t>Evening snacks</t>
  </si>
  <si>
    <t>TX158</t>
  </si>
  <si>
    <t>Stand-up comedy ticket</t>
  </si>
  <si>
    <t>TX159</t>
  </si>
  <si>
    <t>Eye checkup consultation</t>
  </si>
  <si>
    <t>TX160</t>
  </si>
  <si>
    <t>Lunch at campus</t>
  </si>
  <si>
    <t>TX161</t>
  </si>
  <si>
    <t>Cab fare</t>
  </si>
  <si>
    <t>TX162</t>
  </si>
  <si>
    <t>TX163</t>
  </si>
  <si>
    <t>Sticky notes and binders</t>
  </si>
  <si>
    <t>TX164</t>
  </si>
  <si>
    <t>Earphone replacement cable</t>
  </si>
  <si>
    <t>TX165</t>
  </si>
  <si>
    <t>Quarterly interest</t>
  </si>
  <si>
    <t>TX166</t>
  </si>
  <si>
    <t>TX167</t>
  </si>
  <si>
    <t>Cold coffee and sandwich</t>
  </si>
  <si>
    <t>TX168</t>
  </si>
  <si>
    <t>Movie outing</t>
  </si>
  <si>
    <t>TX169</t>
  </si>
  <si>
    <t>Brother's birthday gift</t>
  </si>
  <si>
    <t>TX170</t>
  </si>
  <si>
    <t>End of semester celebration</t>
  </si>
  <si>
    <t>Total</t>
  </si>
  <si>
    <t>Total / Average</t>
  </si>
  <si>
    <t>-</t>
  </si>
  <si>
    <t>POCKET MONEY SAVINGS GOALS TRACKER</t>
  </si>
  <si>
    <t>TOTAL TARGET</t>
  </si>
  <si>
    <t>TOTAL SAVED</t>
  </si>
  <si>
    <t>OVERALL PROGRESS</t>
  </si>
  <si>
    <t>REMAINING AMOUNT</t>
  </si>
  <si>
    <t>Goal ID</t>
  </si>
  <si>
    <t>Goal Name</t>
  </si>
  <si>
    <t>Target Amount</t>
  </si>
  <si>
    <t>Current Saved</t>
  </si>
  <si>
    <t>Monthly Target</t>
  </si>
  <si>
    <t>Target Date</t>
  </si>
  <si>
    <t>Progress (%)</t>
  </si>
  <si>
    <t>Remaining</t>
  </si>
  <si>
    <t>SG01</t>
  </si>
  <si>
    <t>Emergency Fund (3 Months)</t>
  </si>
  <si>
    <t>Financial Safety</t>
  </si>
  <si>
    <t>SG02</t>
  </si>
  <si>
    <t>Noise-Cancelling Headphones</t>
  </si>
  <si>
    <t>Tech &amp; Gadgets</t>
  </si>
  <si>
    <t>SG03</t>
  </si>
  <si>
    <t>College Tech Fest Trip</t>
  </si>
  <si>
    <t>Travel &amp; Events</t>
  </si>
  <si>
    <t>SG04</t>
  </si>
  <si>
    <t>Data Science &amp; AI Course</t>
  </si>
  <si>
    <t>Skill Building</t>
  </si>
  <si>
    <t>SG05</t>
  </si>
  <si>
    <t>Mom's Birthday Gift</t>
  </si>
  <si>
    <t>Family &amp; Gifts</t>
  </si>
  <si>
    <t>MONTHLY POCKET MONEY ANALYZER &amp; DASHBOARD</t>
  </si>
  <si>
    <t>Select Analysis Month:</t>
  </si>
  <si>
    <t>Academic Year: 2026</t>
  </si>
  <si>
    <t>Currency: ₹ (INR)</t>
  </si>
  <si>
    <t>Dynamic Pocket Money Analytics • Real-Time Modeling</t>
  </si>
  <si>
    <t>TOTAL INCOME</t>
  </si>
  <si>
    <t>Monthly Pocket Money &amp; Inflows</t>
  </si>
  <si>
    <t>TOTAL EXPENSES</t>
  </si>
  <si>
    <t>Total Outflows across all categories</t>
  </si>
  <si>
    <t>NET SAVINGS</t>
  </si>
  <si>
    <t>Surplus / Retained Cash</t>
  </si>
  <si>
    <t>SAVINGS RATE</t>
  </si>
  <si>
    <t>Target Benchmark: ≥ 20.0%</t>
  </si>
  <si>
    <t>BUDGET REMAINING</t>
  </si>
  <si>
    <t>Unspent Monthly Budget</t>
  </si>
  <si>
    <t>MONTHLY BUDGET VS ACTUAL EXPENSE BREAKDOWN</t>
  </si>
  <si>
    <t>BUDGET VS ACTUAL SPENDING BY CATEGORY</t>
  </si>
  <si>
    <t>Usage (%)</t>
  </si>
  <si>
    <t>12-MONTH FINANCIAL TREND (INCOME vs EXPENSE vs SAVINGS)</t>
  </si>
  <si>
    <t>EXPENSE DISTRIBUTION BY CATEGORY (% SHARE)</t>
  </si>
  <si>
    <t>KEY MONTHLY FINANCIAL INSIGHTS &amp; BUDGET HEALTH</t>
  </si>
  <si>
    <t>TOP EXPENSE CATEGORY</t>
  </si>
  <si>
    <t>MAX SINGLE TRANSACTION</t>
  </si>
  <si>
    <t>AVERAGE DAILY SPEND</t>
  </si>
  <si>
    <t>BUDGET ADHERENCE</t>
  </si>
  <si>
    <t>TOTAL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</si>
</sst>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[$₹-4009]\ * #,##0.00_ ;_ [$₹-4009]\ * \-#,##0.00_ ;_ [$₹-4009]\ * &quot;-&quot;??_ ;_ @_ "/>
    <numFmt numFmtId="165" formatCode="_ [$₹-4009]* #,##0.00_ ;_ [$₹-4009]* \-#,##0.00_ ;_ [$₹-4009]* &quot;-&quot;??_ ;_ @_ "/>
    <numFmt numFmtId="166" formatCode="0.0%"/>
    <numFmt numFmtId="167" formatCode="dd/mmm/yyyy"/>
    <numFmt numFmtId="168" formatCode="mmmm\ 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Segoe UI"/>
      <family val="2"/>
    </font>
    <font>
      <b/>
      <sz val="16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555555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1"/>
      <color rgb="FF1B365D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1B365D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8"/>
      <color rgb="FF777777"/>
      <name val="Calibri"/>
      <family val="2"/>
      <scheme val="minor"/>
    </font>
    <font>
      <b/>
      <sz val="16"/>
      <color rgb="FF10407A"/>
      <name val="Calibri"/>
      <family val="2"/>
      <scheme val="minor"/>
    </font>
    <font>
      <b/>
      <sz val="16"/>
      <color rgb="FFA51D24"/>
      <name val="Calibri"/>
      <family val="2"/>
      <scheme val="minor"/>
    </font>
    <font>
      <b/>
      <sz val="16"/>
      <color rgb="FF0F5132"/>
      <name val="Calibri"/>
      <family val="2"/>
      <scheme val="minor"/>
    </font>
    <font>
      <b/>
      <sz val="16"/>
      <color rgb="FF1B365D"/>
      <name val="Calibri"/>
      <family val="2"/>
      <scheme val="minor"/>
    </font>
    <font>
      <b/>
      <sz val="8.5"/>
      <color rgb="FF555555"/>
      <name val="Calibri"/>
      <family val="2"/>
      <scheme val="minor"/>
    </font>
    <font>
      <b/>
      <sz val="10.5"/>
      <color rgb="FF1B365D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5F8FA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5" fontId="2" fillId="3" borderId="0" xfId="0" applyNumberFormat="1" applyFont="1" applyFill="1" applyAlignment="1">
      <alignment horizontal="center" vertical="center" wrapText="1"/>
    </xf>
    <xf numFmtId="166" fontId="2" fillId="3" borderId="0" xfId="0" applyNumberFormat="1" applyFont="1" applyFill="1" applyAlignment="1">
      <alignment horizontal="center" vertical="center" wrapText="1"/>
    </xf>
    <xf numFmtId="17" fontId="0" fillId="0" borderId="0" xfId="0" applyNumberFormat="1"/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0" fillId="0" borderId="0" xfId="1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5" fontId="2" fillId="3" borderId="0" xfId="0" applyNumberFormat="1" applyFont="1" applyFill="1" applyAlignment="1">
      <alignment horizontal="center" vertical="center"/>
    </xf>
    <xf numFmtId="166" fontId="2" fillId="3" borderId="0" xfId="0" applyNumberFormat="1" applyFont="1" applyFill="1" applyAlignment="1">
      <alignment horizontal="center" vertical="center"/>
    </xf>
    <xf numFmtId="9" fontId="2" fillId="3" borderId="0" xfId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4" borderId="2" xfId="0" applyFont="1" applyFill="1" applyBorder="1" applyAlignment="1">
      <alignment horizontal="center"/>
    </xf>
    <xf numFmtId="165" fontId="8" fillId="4" borderId="3" xfId="0" applyNumberFormat="1" applyFont="1" applyFill="1" applyBorder="1" applyAlignment="1">
      <alignment horizontal="center"/>
    </xf>
    <xf numFmtId="166" fontId="8" fillId="4" borderId="3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67" fontId="0" fillId="0" borderId="1" xfId="0" applyNumberFormat="1" applyBorder="1"/>
    <xf numFmtId="166" fontId="0" fillId="0" borderId="1" xfId="0" applyNumberFormat="1" applyBorder="1"/>
    <xf numFmtId="0" fontId="2" fillId="3" borderId="1" xfId="0" applyFont="1" applyFill="1" applyBorder="1"/>
    <xf numFmtId="165" fontId="2" fillId="3" borderId="1" xfId="0" applyNumberFormat="1" applyFont="1" applyFill="1" applyBorder="1"/>
    <xf numFmtId="166" fontId="2" fillId="3" borderId="1" xfId="0" applyNumberFormat="1" applyFont="1" applyFill="1" applyBorder="1"/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168" fontId="12" fillId="3" borderId="0" xfId="0" applyNumberFormat="1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7" fillId="4" borderId="4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15" fillId="4" borderId="8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165" fontId="16" fillId="4" borderId="6" xfId="0" applyNumberFormat="1" applyFont="1" applyFill="1" applyBorder="1" applyAlignment="1">
      <alignment horizontal="center"/>
    </xf>
    <xf numFmtId="165" fontId="17" fillId="4" borderId="6" xfId="0" applyNumberFormat="1" applyFont="1" applyFill="1" applyBorder="1" applyAlignment="1">
      <alignment horizontal="center"/>
    </xf>
    <xf numFmtId="165" fontId="18" fillId="4" borderId="6" xfId="0" applyNumberFormat="1" applyFont="1" applyFill="1" applyBorder="1" applyAlignment="1">
      <alignment horizontal="center"/>
    </xf>
    <xf numFmtId="166" fontId="16" fillId="4" borderId="6" xfId="0" applyNumberFormat="1" applyFont="1" applyFill="1" applyBorder="1" applyAlignment="1">
      <alignment horizontal="center"/>
    </xf>
    <xf numFmtId="165" fontId="19" fillId="4" borderId="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165" fontId="11" fillId="4" borderId="8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2">
    <dxf>
      <font>
        <b/>
        <i val="0"/>
        <color rgb="FFB41E1E"/>
      </font>
      <fill>
        <patternFill>
          <bgColor rgb="FFFBD2D2"/>
        </patternFill>
      </fill>
    </dxf>
    <dxf>
      <font>
        <b/>
        <i val="0"/>
        <color rgb="FFB26600"/>
      </font>
      <fill>
        <patternFill>
          <bgColor rgb="FFFFF7CE"/>
        </patternFill>
      </fill>
    </dxf>
    <dxf>
      <font>
        <b/>
        <i val="0"/>
        <color rgb="FF33681B"/>
      </font>
      <fill>
        <patternFill>
          <bgColor rgb="FFE6F4DD"/>
        </patternFill>
      </fill>
    </dxf>
    <dxf>
      <font>
        <b/>
        <i val="0"/>
        <color rgb="FFB41E1E"/>
      </font>
      <fill>
        <patternFill>
          <bgColor rgb="FFFBD2D2"/>
        </patternFill>
      </fill>
    </dxf>
    <dxf>
      <font>
        <b/>
        <i val="0"/>
        <color rgb="FFB26600"/>
      </font>
      <fill>
        <patternFill>
          <bgColor rgb="FFFFF7CE"/>
        </patternFill>
      </fill>
    </dxf>
    <dxf>
      <font>
        <b/>
        <i val="0"/>
        <color rgb="FF33681B"/>
      </font>
      <fill>
        <patternFill>
          <bgColor rgb="FFE6F4DD"/>
        </patternFill>
      </fill>
    </dxf>
    <dxf>
      <font>
        <b/>
        <color rgb="FFFFFFFF"/>
      </font>
      <fill>
        <patternFill patternType="solid">
          <fgColor indexed="64"/>
          <bgColor rgb="FF1B365D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 [$₹-4009]\ * #,##0.00_ ;_ [$₹-4009]\ * \-#,##0.00_ ;_ [$₹-4009]\ * &quot;-&quot;??_ ;_ @_ 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_ [$₹-4009]\ * #,##0.00_ ;_ [$₹-4009]\ * \-#,##0.00_ ;_ [$₹-4009]\ * &quot;-&quot;??_ ;_ @_ 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Budget vs Actual Spending by Category (Selected 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Dashboard!$B$8</c:f>
              <c:strCache>
                <c:ptCount val="1"/>
                <c:pt idx="0">
                  <c:v>Monthly Budget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Dashboard!$A$9:$A$19</c:f>
              <c:strCache>
                <c:ptCount val="11"/>
                <c:pt idx="0">
                  <c:v>Food</c:v>
                </c:pt>
                <c:pt idx="1">
                  <c:v>Travel</c:v>
                </c:pt>
                <c:pt idx="2">
                  <c:v>Stationery</c:v>
                </c:pt>
                <c:pt idx="3">
                  <c:v>Education</c:v>
                </c:pt>
                <c:pt idx="4">
                  <c:v>Entertainment</c:v>
                </c:pt>
                <c:pt idx="5">
                  <c:v>Mobile</c:v>
                </c:pt>
                <c:pt idx="6">
                  <c:v>Shopping</c:v>
                </c:pt>
                <c:pt idx="7">
                  <c:v>Personal Care</c:v>
                </c:pt>
                <c:pt idx="8">
                  <c:v>Health</c:v>
                </c:pt>
                <c:pt idx="9">
                  <c:v>Gifts</c:v>
                </c:pt>
                <c:pt idx="10">
                  <c:v>Other</c:v>
                </c:pt>
              </c:strCache>
            </c:strRef>
          </c:cat>
          <c:val>
            <c:numRef>
              <c:f>Dashboard!$B$9:$B$19</c:f>
              <c:numCache>
                <c:formatCode>_ [$₹-4009]* #,##0.00_ ;_ [$₹-4009]* \-#,##0.00_ ;_ [$₹-4009]* "-"??_ ;_ @_ </c:formatCode>
                <c:ptCount val="11"/>
                <c:pt idx="0">
                  <c:v>1800</c:v>
                </c:pt>
                <c:pt idx="1">
                  <c:v>800</c:v>
                </c:pt>
                <c:pt idx="2">
                  <c:v>500</c:v>
                </c:pt>
                <c:pt idx="3">
                  <c:v>600</c:v>
                </c:pt>
                <c:pt idx="4">
                  <c:v>700</c:v>
                </c:pt>
                <c:pt idx="5">
                  <c:v>300</c:v>
                </c:pt>
                <c:pt idx="6">
                  <c:v>1000</c:v>
                </c:pt>
                <c:pt idx="7">
                  <c:v>400</c:v>
                </c:pt>
                <c:pt idx="8">
                  <c:v>300</c:v>
                </c:pt>
                <c:pt idx="9">
                  <c:v>300</c:v>
                </c:pt>
                <c:pt idx="10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7E-4979-983F-F248893CC7D0}"/>
            </c:ext>
          </c:extLst>
        </c:ser>
        <c:ser>
          <c:idx val="1"/>
          <c:order val="1"/>
          <c:tx>
            <c:strRef>
              <c:f>Dashboard!$C$8</c:f>
              <c:strCache>
                <c:ptCount val="1"/>
                <c:pt idx="0">
                  <c:v>Actual Spending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Dashboard!$A$9:$A$19</c:f>
              <c:strCache>
                <c:ptCount val="11"/>
                <c:pt idx="0">
                  <c:v>Food</c:v>
                </c:pt>
                <c:pt idx="1">
                  <c:v>Travel</c:v>
                </c:pt>
                <c:pt idx="2">
                  <c:v>Stationery</c:v>
                </c:pt>
                <c:pt idx="3">
                  <c:v>Education</c:v>
                </c:pt>
                <c:pt idx="4">
                  <c:v>Entertainment</c:v>
                </c:pt>
                <c:pt idx="5">
                  <c:v>Mobile</c:v>
                </c:pt>
                <c:pt idx="6">
                  <c:v>Shopping</c:v>
                </c:pt>
                <c:pt idx="7">
                  <c:v>Personal Care</c:v>
                </c:pt>
                <c:pt idx="8">
                  <c:v>Health</c:v>
                </c:pt>
                <c:pt idx="9">
                  <c:v>Gifts</c:v>
                </c:pt>
                <c:pt idx="10">
                  <c:v>Other</c:v>
                </c:pt>
              </c:strCache>
            </c:strRef>
          </c:cat>
          <c:val>
            <c:numRef>
              <c:f>Dashboard!$C$9:$C$19</c:f>
              <c:numCache>
                <c:formatCode>_ [$₹-4009]* #,##0.00_ ;_ [$₹-4009]* \-#,##0.00_ ;_ [$₹-4009]* "-"??_ ;_ @_ </c:formatCode>
                <c:ptCount val="11"/>
                <c:pt idx="0">
                  <c:v>1285</c:v>
                </c:pt>
                <c:pt idx="1">
                  <c:v>390</c:v>
                </c:pt>
                <c:pt idx="2">
                  <c:v>180</c:v>
                </c:pt>
                <c:pt idx="3">
                  <c:v>255</c:v>
                </c:pt>
                <c:pt idx="4">
                  <c:v>568</c:v>
                </c:pt>
                <c:pt idx="5">
                  <c:v>239</c:v>
                </c:pt>
                <c:pt idx="6">
                  <c:v>750</c:v>
                </c:pt>
                <c:pt idx="7">
                  <c:v>220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7E-4979-983F-F248893CC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104687"/>
        <c:axId val="2115094127"/>
      </c:barChart>
      <c:catAx>
        <c:axId val="2115104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094127"/>
        <c:crosses val="autoZero"/>
        <c:auto val="1"/>
        <c:lblAlgn val="ctr"/>
        <c:lblOffset val="100"/>
        <c:noMultiLvlLbl val="0"/>
      </c:catAx>
      <c:valAx>
        <c:axId val="211509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* #,##0.00_ ;_ [$₹-4009]* \-#,##0.00_ ;_ [$₹-400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04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Cash Flow Trend (Income vs Expenses vs Net Savings)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'Monthly Summary'!$A$2:$A$13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Summary'!$B$2:$B$13</c:f>
              <c:numCache>
                <c:formatCode>_ [$₹-4009]* #,##0.00_ ;_ [$₹-4009]* \-#,##0.00_ ;_ [$₹-4009]* "-"??_ ;_ @_ </c:formatCode>
                <c:ptCount val="12"/>
                <c:pt idx="0">
                  <c:v>4035</c:v>
                </c:pt>
                <c:pt idx="1">
                  <c:v>4000</c:v>
                </c:pt>
                <c:pt idx="2">
                  <c:v>4342</c:v>
                </c:pt>
                <c:pt idx="3">
                  <c:v>5000</c:v>
                </c:pt>
                <c:pt idx="4">
                  <c:v>5238</c:v>
                </c:pt>
                <c:pt idx="5">
                  <c:v>6045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4E7-BA7C-47437E37898F}"/>
            </c:ext>
          </c:extLst>
        </c:ser>
        <c:ser>
          <c:idx val="1"/>
          <c:order val="1"/>
          <c:tx>
            <c:strRef>
              <c:f>'Monthly Summary'!$C$1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'Monthly Summary'!$A$2:$A$13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Summary'!$C$2:$C$13</c:f>
              <c:numCache>
                <c:formatCode>_ [$₹-4009]* #,##0.00_ ;_ [$₹-4009]* \-#,##0.00_ ;_ [$₹-4009]* "-"??_ ;_ @_ </c:formatCode>
                <c:ptCount val="12"/>
                <c:pt idx="0">
                  <c:v>3887</c:v>
                </c:pt>
                <c:pt idx="1">
                  <c:v>3489</c:v>
                </c:pt>
                <c:pt idx="2">
                  <c:v>4253</c:v>
                </c:pt>
                <c:pt idx="3">
                  <c:v>4570</c:v>
                </c:pt>
                <c:pt idx="4">
                  <c:v>5524</c:v>
                </c:pt>
                <c:pt idx="5">
                  <c:v>5202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4E7-BA7C-47437E37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5107567"/>
        <c:axId val="2115113807"/>
      </c:barChart>
      <c:lineChart>
        <c:grouping val="standard"/>
        <c:varyColors val="0"/>
        <c:ser>
          <c:idx val="2"/>
          <c:order val="2"/>
          <c:tx>
            <c:strRef>
              <c:f>'Monthly Summary'!$D$1</c:f>
              <c:strCache>
                <c:ptCount val="1"/>
                <c:pt idx="0">
                  <c:v>Net Savings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'Monthly Summary'!$A$2:$A$13</c:f>
              <c:numCache>
                <c:formatCode>mmm\-yy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'Monthly Summary'!$D$2:$D$13</c:f>
              <c:numCache>
                <c:formatCode>_ [$₹-4009]* #,##0.00_ ;_ [$₹-4009]* \-#,##0.00_ ;_ [$₹-4009]* "-"??_ ;_ @_ </c:formatCode>
                <c:ptCount val="12"/>
                <c:pt idx="0">
                  <c:v>148</c:v>
                </c:pt>
                <c:pt idx="1">
                  <c:v>511</c:v>
                </c:pt>
                <c:pt idx="2">
                  <c:v>89</c:v>
                </c:pt>
                <c:pt idx="3">
                  <c:v>430</c:v>
                </c:pt>
                <c:pt idx="4">
                  <c:v>-286</c:v>
                </c:pt>
                <c:pt idx="5">
                  <c:v>843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BA-44E7-BA7C-47437E37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5107567"/>
        <c:axId val="2115113807"/>
      </c:lineChart>
      <c:dateAx>
        <c:axId val="2115107567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13807"/>
        <c:crosses val="autoZero"/>
        <c:auto val="1"/>
        <c:lblOffset val="100"/>
        <c:baseTimeUnit val="months"/>
      </c:dateAx>
      <c:valAx>
        <c:axId val="211511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* #,##0.00_ ;_ [$₹-4009]* \-#,##0.00_ ;_ [$₹-400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510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Expense Category Share (Selected Month)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cat>
            <c:strRef>
              <c:f>Dashboard!$A$9:$A$19</c:f>
              <c:strCache>
                <c:ptCount val="11"/>
                <c:pt idx="0">
                  <c:v>Food</c:v>
                </c:pt>
                <c:pt idx="1">
                  <c:v>Travel</c:v>
                </c:pt>
                <c:pt idx="2">
                  <c:v>Stationery</c:v>
                </c:pt>
                <c:pt idx="3">
                  <c:v>Education</c:v>
                </c:pt>
                <c:pt idx="4">
                  <c:v>Entertainment</c:v>
                </c:pt>
                <c:pt idx="5">
                  <c:v>Mobile</c:v>
                </c:pt>
                <c:pt idx="6">
                  <c:v>Shopping</c:v>
                </c:pt>
                <c:pt idx="7">
                  <c:v>Personal Care</c:v>
                </c:pt>
                <c:pt idx="8">
                  <c:v>Health</c:v>
                </c:pt>
                <c:pt idx="9">
                  <c:v>Gifts</c:v>
                </c:pt>
                <c:pt idx="10">
                  <c:v>Other</c:v>
                </c:pt>
              </c:strCache>
            </c:strRef>
          </c:cat>
          <c:val>
            <c:numRef>
              <c:f>Dashboard!$C$9:$C$19</c:f>
              <c:numCache>
                <c:formatCode>_ [$₹-4009]* #,##0.00_ ;_ [$₹-4009]* \-#,##0.00_ ;_ [$₹-4009]* "-"??_ ;_ @_ </c:formatCode>
                <c:ptCount val="11"/>
                <c:pt idx="0">
                  <c:v>1285</c:v>
                </c:pt>
                <c:pt idx="1">
                  <c:v>390</c:v>
                </c:pt>
                <c:pt idx="2">
                  <c:v>180</c:v>
                </c:pt>
                <c:pt idx="3">
                  <c:v>255</c:v>
                </c:pt>
                <c:pt idx="4">
                  <c:v>568</c:v>
                </c:pt>
                <c:pt idx="5">
                  <c:v>239</c:v>
                </c:pt>
                <c:pt idx="6">
                  <c:v>750</c:v>
                </c:pt>
                <c:pt idx="7">
                  <c:v>220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6-4186-8D23-1FDF84A6D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Savings Goals: Target vs Current Saved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Target Amount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'Savings Goals'!$B$7:$B$11</c:f>
              <c:strCache>
                <c:ptCount val="5"/>
                <c:pt idx="0">
                  <c:v>Emergency Fund (3 Months)</c:v>
                </c:pt>
                <c:pt idx="1">
                  <c:v>Noise-Cancelling Headphones</c:v>
                </c:pt>
                <c:pt idx="2">
                  <c:v>College Tech Fest Trip</c:v>
                </c:pt>
                <c:pt idx="3">
                  <c:v>Data Science &amp; AI Course</c:v>
                </c:pt>
                <c:pt idx="4">
                  <c:v>Mom's Birthday Gift</c:v>
                </c:pt>
              </c:strCache>
            </c:strRef>
          </c:cat>
          <c:val>
            <c:numRef>
              <c:f>'Savings Goals'!$D$7:$D$11</c:f>
              <c:numCache>
                <c:formatCode>_ [$₹-4009]* #,##0.00_ ;_ [$₹-4009]* \-#,##0.00_ ;_ [$₹-4009]* "-"??_ ;_ @_ </c:formatCode>
                <c:ptCount val="5"/>
                <c:pt idx="0">
                  <c:v>5000</c:v>
                </c:pt>
                <c:pt idx="1">
                  <c:v>3500</c:v>
                </c:pt>
                <c:pt idx="2">
                  <c:v>4000</c:v>
                </c:pt>
                <c:pt idx="3">
                  <c:v>2500</c:v>
                </c:pt>
                <c:pt idx="4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F-48BC-99C4-F30EDFA397E0}"/>
            </c:ext>
          </c:extLst>
        </c:ser>
        <c:ser>
          <c:idx val="1"/>
          <c:order val="1"/>
          <c:tx>
            <c:v>Current Saved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'Savings Goals'!$B$7:$B$11</c:f>
              <c:strCache>
                <c:ptCount val="5"/>
                <c:pt idx="0">
                  <c:v>Emergency Fund (3 Months)</c:v>
                </c:pt>
                <c:pt idx="1">
                  <c:v>Noise-Cancelling Headphones</c:v>
                </c:pt>
                <c:pt idx="2">
                  <c:v>College Tech Fest Trip</c:v>
                </c:pt>
                <c:pt idx="3">
                  <c:v>Data Science &amp; AI Course</c:v>
                </c:pt>
                <c:pt idx="4">
                  <c:v>Mom's Birthday Gift</c:v>
                </c:pt>
              </c:strCache>
            </c:strRef>
          </c:cat>
          <c:val>
            <c:numRef>
              <c:f>'Savings Goals'!$E$7:$E$11</c:f>
              <c:numCache>
                <c:formatCode>_ [$₹-4009]* #,##0.00_ ;_ [$₹-4009]* \-#,##0.00_ ;_ [$₹-4009]* "-"??_ ;_ @_ </c:formatCode>
                <c:ptCount val="5"/>
                <c:pt idx="0">
                  <c:v>3500</c:v>
                </c:pt>
                <c:pt idx="1">
                  <c:v>2800</c:v>
                </c:pt>
                <c:pt idx="2">
                  <c:v>1600</c:v>
                </c:pt>
                <c:pt idx="3">
                  <c:v>1000</c:v>
                </c:pt>
                <c:pt idx="4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AF-48BC-99C4-F30EDFA39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9516831"/>
        <c:axId val="2107655855"/>
      </c:barChart>
      <c:catAx>
        <c:axId val="1779516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655855"/>
        <c:crosses val="autoZero"/>
        <c:auto val="1"/>
        <c:lblAlgn val="ctr"/>
        <c:lblOffset val="100"/>
        <c:noMultiLvlLbl val="0"/>
      </c:catAx>
      <c:valAx>
        <c:axId val="2107655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009]* #,##0.00_ ;_ [$₹-4009]* \-#,##0.00_ ;_ [$₹-4009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51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3314BE-C2DB-E480-B24A-407BF4CB4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7</xdr:col>
      <xdr:colOff>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9FCAF9-CF6F-067D-C74F-7E69596547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22</xdr:row>
      <xdr:rowOff>0</xdr:rowOff>
    </xdr:from>
    <xdr:to>
      <xdr:col>14</xdr:col>
      <xdr:colOff>0</xdr:colOff>
      <xdr:row>36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089666-F05F-CFB5-D8FB-E7BDDD7E04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9</xdr:col>
      <xdr:colOff>0</xdr:colOff>
      <xdr:row>30</xdr:row>
      <xdr:rowOff>66040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B365E8-D74E-E906-7B17-5886A58513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a" connectionId="1" xr16:uid="{00000000-0016-0000-0200-000000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38FA7E-09EC-4524-A633-36A360CDE9CD}" name="tblTransactions" displayName="tblTransactions" ref="A1:J171" totalsRowShown="0" headerRowDxfId="6" dataDxfId="21">
  <autoFilter ref="A1:J171" xr:uid="{D938FA7E-09EC-4524-A633-36A360CDE9CD}"/>
  <tableColumns count="10">
    <tableColumn id="1" xr3:uid="{C7DDB6DA-27DD-4CC5-8322-DBCECADDD24A}" name="Date" dataDxfId="20"/>
    <tableColumn id="2" xr3:uid="{161559A5-E9CF-43F1-8A25-0174BE1D5143}" name="Transaction ID" dataDxfId="19"/>
    <tableColumn id="3" xr3:uid="{9EF0F634-06AE-497E-B771-A6BCF783EE55}" name="Type" dataDxfId="18"/>
    <tableColumn id="4" xr3:uid="{B8D96FB9-7C48-4E59-8D2D-3423D8E36763}" name="Category" dataDxfId="17"/>
    <tableColumn id="5" xr3:uid="{342E1D34-31A1-4DAE-BF91-17732D952ED5}" name="Description" dataDxfId="16"/>
    <tableColumn id="6" xr3:uid="{65CA5A56-E0EE-4DE9-B008-20F69B03AACE}" name="Amount" dataDxfId="15"/>
    <tableColumn id="7" xr3:uid="{44EC6503-2886-4803-B940-3741BE532444}" name="Payment Method" dataDxfId="14"/>
    <tableColumn id="8" xr3:uid="{3F2B4E06-9DAE-4829-A66F-62E644AF4D3E}" name="Month" dataDxfId="13">
      <calculatedColumnFormula>TEXT(A2,"mmm-yyyy")</calculatedColumnFormula>
    </tableColumn>
    <tableColumn id="9" xr3:uid="{E46AD7BF-A24F-4145-98DE-7882EAF47E90}" name="Running Balance" dataDxfId="12">
      <calculatedColumnFormula>SUMIFS($F$2:F2,$C$2:C2,"Income")-SUMIFS($F$2:F2,$C$2:C2,"Expense")</calculatedColumnFormula>
    </tableColumn>
    <tableColumn id="10" xr3:uid="{9109F9A3-A484-4C1E-911F-DF5CFB726F74}" name="Budget Status" dataDxfId="7">
      <calculatedColumnFormula>IF(C2="Income","-",IFERROR(VLOOKUP(D2,Budget!$A$2:$F$12,6,FALSE),"-"))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3"/>
  <sheetViews>
    <sheetView tabSelected="1" workbookViewId="0">
      <selection activeCell="J3" sqref="J3"/>
    </sheetView>
  </sheetViews>
  <sheetFormatPr defaultRowHeight="14.4" x14ac:dyDescent="0.3"/>
  <cols>
    <col min="1" max="1" width="18.77734375" style="5" customWidth="1"/>
    <col min="2" max="3" width="16.77734375" style="5" customWidth="1"/>
    <col min="4" max="4" width="15.77734375" style="5" customWidth="1"/>
    <col min="5" max="5" width="12.77734375" style="5" customWidth="1"/>
    <col min="6" max="6" width="15.77734375" style="5" customWidth="1"/>
    <col min="7" max="7" width="4.77734375" style="5" customWidth="1"/>
    <col min="8" max="10" width="15.77734375" style="5" customWidth="1"/>
    <col min="11" max="12" width="14.77734375" style="5" customWidth="1"/>
    <col min="13" max="14" width="15.77734375" style="5" customWidth="1"/>
    <col min="15" max="16384" width="8.88671875" style="5"/>
  </cols>
  <sheetData>
    <row r="1" spans="1:14" ht="40.049999999999997" customHeight="1" x14ac:dyDescent="0.3">
      <c r="A1" s="40" t="s">
        <v>380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28.05" customHeight="1" x14ac:dyDescent="0.3">
      <c r="A2" s="41" t="s">
        <v>381</v>
      </c>
      <c r="B2" s="42">
        <v>46023</v>
      </c>
      <c r="D2" s="43" t="s">
        <v>382</v>
      </c>
      <c r="E2" s="7"/>
      <c r="G2" s="44" t="s">
        <v>383</v>
      </c>
      <c r="J2" s="45" t="s">
        <v>384</v>
      </c>
      <c r="K2" s="46"/>
      <c r="L2" s="46"/>
      <c r="M2" s="46"/>
      <c r="N2" s="46"/>
    </row>
    <row r="3" spans="1:14" ht="19.95" customHeight="1" x14ac:dyDescent="0.25">
      <c r="A3" s="47" t="s">
        <v>385</v>
      </c>
      <c r="B3" s="48"/>
      <c r="D3" s="47" t="s">
        <v>387</v>
      </c>
      <c r="E3" s="48"/>
      <c r="G3" s="47" t="s">
        <v>389</v>
      </c>
      <c r="H3" s="48"/>
      <c r="J3" s="47" t="s">
        <v>391</v>
      </c>
      <c r="K3" s="48"/>
      <c r="M3" s="52" t="s">
        <v>393</v>
      </c>
      <c r="N3" s="53"/>
    </row>
    <row r="4" spans="1:14" ht="28.05" customHeight="1" x14ac:dyDescent="0.4">
      <c r="A4" s="55">
        <f>SUMIFS(Transactions!$F:$F,Transactions!$C:$C,"Income",Transactions!$A:$A,"&gt;="&amp;$B$2,Transactions!$A:$A,"&lt;"&amp;EDATE($B$2,1))</f>
        <v>4035</v>
      </c>
      <c r="B4" s="49"/>
      <c r="D4" s="56">
        <f>SUMIFS(Transactions!$F:$F,Transactions!$C:$C,"Expense",Transactions!$A:$A,"&gt;="&amp;$B$2,Transactions!$A:$A,"&lt;"&amp;EDATE($B$2,1))</f>
        <v>3887</v>
      </c>
      <c r="E4" s="49"/>
      <c r="G4" s="57">
        <f>A4-D4</f>
        <v>148</v>
      </c>
      <c r="H4" s="49"/>
      <c r="J4" s="58">
        <f>IFERROR(G4/A4,0)</f>
        <v>3.667905824039653E-2</v>
      </c>
      <c r="K4" s="49"/>
      <c r="M4" s="59">
        <f>Budget!$D$13</f>
        <v>3113</v>
      </c>
      <c r="N4" s="54"/>
    </row>
    <row r="5" spans="1:14" ht="18" customHeight="1" x14ac:dyDescent="0.3">
      <c r="A5" s="50" t="s">
        <v>386</v>
      </c>
      <c r="B5" s="51"/>
      <c r="D5" s="50" t="s">
        <v>388</v>
      </c>
      <c r="E5" s="51"/>
      <c r="G5" s="50" t="s">
        <v>390</v>
      </c>
      <c r="H5" s="51"/>
      <c r="J5" s="50" t="s">
        <v>392</v>
      </c>
      <c r="K5" s="51"/>
      <c r="M5" s="50" t="s">
        <v>394</v>
      </c>
      <c r="N5" s="51"/>
    </row>
    <row r="7" spans="1:14" ht="24" customHeight="1" x14ac:dyDescent="0.3">
      <c r="A7" s="60" t="s">
        <v>395</v>
      </c>
      <c r="B7" s="7"/>
      <c r="C7" s="7"/>
      <c r="D7" s="7"/>
      <c r="E7" s="7"/>
      <c r="F7" s="7"/>
      <c r="H7" s="60" t="s">
        <v>396</v>
      </c>
      <c r="I7" s="7"/>
      <c r="J7" s="7"/>
      <c r="K7" s="7"/>
      <c r="L7" s="7"/>
      <c r="M7" s="7"/>
      <c r="N7" s="7"/>
    </row>
    <row r="8" spans="1:14" ht="24" customHeight="1" x14ac:dyDescent="0.3">
      <c r="A8" s="61" t="s">
        <v>3</v>
      </c>
      <c r="B8" s="61" t="s">
        <v>134</v>
      </c>
      <c r="C8" s="61" t="s">
        <v>135</v>
      </c>
      <c r="D8" s="61" t="s">
        <v>364</v>
      </c>
      <c r="E8" s="61" t="s">
        <v>397</v>
      </c>
      <c r="F8" s="61" t="s">
        <v>130</v>
      </c>
    </row>
    <row r="9" spans="1:14" x14ac:dyDescent="0.3">
      <c r="A9" s="62" t="str">
        <f>Budget!A2</f>
        <v>Food</v>
      </c>
      <c r="B9" s="63">
        <f>Budget!B2</f>
        <v>1800</v>
      </c>
      <c r="C9" s="63">
        <f>Budget!C2</f>
        <v>1285</v>
      </c>
      <c r="D9" s="63">
        <f>Budget!D2</f>
        <v>515</v>
      </c>
      <c r="E9" s="64">
        <f>Budget!E2</f>
        <v>0.71388888888888891</v>
      </c>
      <c r="F9" s="62" t="str">
        <f>Budget!F2</f>
        <v>Within Budget</v>
      </c>
    </row>
    <row r="10" spans="1:14" x14ac:dyDescent="0.3">
      <c r="A10" s="65" t="str">
        <f>Budget!A3</f>
        <v>Travel</v>
      </c>
      <c r="B10" s="66">
        <f>Budget!B3</f>
        <v>800</v>
      </c>
      <c r="C10" s="66">
        <f>Budget!C3</f>
        <v>390</v>
      </c>
      <c r="D10" s="66">
        <f>Budget!D3</f>
        <v>410</v>
      </c>
      <c r="E10" s="67">
        <f>Budget!E3</f>
        <v>0.48749999999999999</v>
      </c>
      <c r="F10" s="65" t="str">
        <f>Budget!F3</f>
        <v>Within Budget</v>
      </c>
    </row>
    <row r="11" spans="1:14" x14ac:dyDescent="0.3">
      <c r="A11" s="62" t="str">
        <f>Budget!A4</f>
        <v>Stationery</v>
      </c>
      <c r="B11" s="63">
        <f>Budget!B4</f>
        <v>500</v>
      </c>
      <c r="C11" s="63">
        <f>Budget!C4</f>
        <v>180</v>
      </c>
      <c r="D11" s="63">
        <f>Budget!D4</f>
        <v>320</v>
      </c>
      <c r="E11" s="64">
        <f>Budget!E4</f>
        <v>0.36</v>
      </c>
      <c r="F11" s="62" t="str">
        <f>Budget!F4</f>
        <v>Within Budget</v>
      </c>
    </row>
    <row r="12" spans="1:14" x14ac:dyDescent="0.3">
      <c r="A12" s="65" t="str">
        <f>Budget!A5</f>
        <v>Education</v>
      </c>
      <c r="B12" s="66">
        <f>Budget!B5</f>
        <v>600</v>
      </c>
      <c r="C12" s="66">
        <f>Budget!C5</f>
        <v>255</v>
      </c>
      <c r="D12" s="66">
        <f>Budget!D5</f>
        <v>345</v>
      </c>
      <c r="E12" s="67">
        <f>Budget!E5</f>
        <v>0.42499999999999999</v>
      </c>
      <c r="F12" s="65" t="str">
        <f>Budget!F5</f>
        <v>Within Budget</v>
      </c>
    </row>
    <row r="13" spans="1:14" x14ac:dyDescent="0.3">
      <c r="A13" s="62" t="str">
        <f>Budget!A6</f>
        <v>Entertainment</v>
      </c>
      <c r="B13" s="63">
        <f>Budget!B6</f>
        <v>700</v>
      </c>
      <c r="C13" s="63">
        <f>Budget!C6</f>
        <v>568</v>
      </c>
      <c r="D13" s="63">
        <f>Budget!D6</f>
        <v>132</v>
      </c>
      <c r="E13" s="64">
        <f>Budget!E6</f>
        <v>0.81142857142857139</v>
      </c>
      <c r="F13" s="62" t="str">
        <f>Budget!F6</f>
        <v>Near Limit</v>
      </c>
    </row>
    <row r="14" spans="1:14" x14ac:dyDescent="0.3">
      <c r="A14" s="65" t="str">
        <f>Budget!A7</f>
        <v>Mobile</v>
      </c>
      <c r="B14" s="66">
        <f>Budget!B7</f>
        <v>300</v>
      </c>
      <c r="C14" s="66">
        <f>Budget!C7</f>
        <v>239</v>
      </c>
      <c r="D14" s="66">
        <f>Budget!D7</f>
        <v>61</v>
      </c>
      <c r="E14" s="67">
        <f>Budget!E7</f>
        <v>0.79666666666666663</v>
      </c>
      <c r="F14" s="65" t="str">
        <f>Budget!F7</f>
        <v>Within Budget</v>
      </c>
    </row>
    <row r="15" spans="1:14" x14ac:dyDescent="0.3">
      <c r="A15" s="62" t="str">
        <f>Budget!A8</f>
        <v>Shopping</v>
      </c>
      <c r="B15" s="63">
        <f>Budget!B8</f>
        <v>1000</v>
      </c>
      <c r="C15" s="63">
        <f>Budget!C8</f>
        <v>750</v>
      </c>
      <c r="D15" s="63">
        <f>Budget!D8</f>
        <v>250</v>
      </c>
      <c r="E15" s="64">
        <f>Budget!E8</f>
        <v>0.75</v>
      </c>
      <c r="F15" s="62" t="str">
        <f>Budget!F8</f>
        <v>Within Budget</v>
      </c>
    </row>
    <row r="16" spans="1:14" x14ac:dyDescent="0.3">
      <c r="A16" s="65" t="str">
        <f>Budget!A9</f>
        <v>Personal Care</v>
      </c>
      <c r="B16" s="66">
        <f>Budget!B9</f>
        <v>400</v>
      </c>
      <c r="C16" s="66">
        <f>Budget!C9</f>
        <v>220</v>
      </c>
      <c r="D16" s="66">
        <f>Budget!D9</f>
        <v>180</v>
      </c>
      <c r="E16" s="67">
        <f>Budget!E9</f>
        <v>0.55000000000000004</v>
      </c>
      <c r="F16" s="65" t="str">
        <f>Budget!F9</f>
        <v>Within Budget</v>
      </c>
    </row>
    <row r="17" spans="1:14" x14ac:dyDescent="0.3">
      <c r="A17" s="62" t="str">
        <f>Budget!A10</f>
        <v>Health</v>
      </c>
      <c r="B17" s="63">
        <f>Budget!B10</f>
        <v>300</v>
      </c>
      <c r="C17" s="63">
        <f>Budget!C10</f>
        <v>0</v>
      </c>
      <c r="D17" s="63">
        <f>Budget!D10</f>
        <v>300</v>
      </c>
      <c r="E17" s="64">
        <f>Budget!E10</f>
        <v>0</v>
      </c>
      <c r="F17" s="62" t="str">
        <f>Budget!F10</f>
        <v>Within Budget</v>
      </c>
    </row>
    <row r="18" spans="1:14" x14ac:dyDescent="0.3">
      <c r="A18" s="65" t="str">
        <f>Budget!A11</f>
        <v>Gifts</v>
      </c>
      <c r="B18" s="66">
        <f>Budget!B11</f>
        <v>300</v>
      </c>
      <c r="C18" s="66">
        <f>Budget!C11</f>
        <v>0</v>
      </c>
      <c r="D18" s="66">
        <f>Budget!D11</f>
        <v>300</v>
      </c>
      <c r="E18" s="67">
        <f>Budget!E11</f>
        <v>0</v>
      </c>
      <c r="F18" s="65" t="str">
        <f>Budget!F11</f>
        <v>Within Budget</v>
      </c>
    </row>
    <row r="19" spans="1:14" x14ac:dyDescent="0.3">
      <c r="A19" s="62" t="str">
        <f>Budget!A12</f>
        <v>Other</v>
      </c>
      <c r="B19" s="63">
        <f>Budget!B12</f>
        <v>300</v>
      </c>
      <c r="C19" s="63">
        <f>Budget!C12</f>
        <v>0</v>
      </c>
      <c r="D19" s="63">
        <f>Budget!D12</f>
        <v>300</v>
      </c>
      <c r="E19" s="64">
        <f>Budget!E12</f>
        <v>0</v>
      </c>
      <c r="F19" s="62" t="str">
        <f>Budget!F12</f>
        <v>Within Budget</v>
      </c>
    </row>
    <row r="20" spans="1:14" x14ac:dyDescent="0.3">
      <c r="A20" s="68" t="s">
        <v>349</v>
      </c>
      <c r="B20" s="69">
        <f>SUM(B9:B19)</f>
        <v>7000</v>
      </c>
      <c r="C20" s="69">
        <f>SUM(C9:C19)</f>
        <v>3887</v>
      </c>
      <c r="D20" s="69">
        <f>B20-C20</f>
        <v>3113</v>
      </c>
      <c r="E20" s="70">
        <f>IFERROR(C20/B20,0)</f>
        <v>0.55528571428571427</v>
      </c>
      <c r="F20" s="68" t="str">
        <f>IF(C20&gt;B20,"Over Budget",IF(C20&gt;=B20*0.8,"Near Limit","Within Budget"))</f>
        <v>Within Budget</v>
      </c>
    </row>
    <row r="22" spans="1:14" ht="24" customHeight="1" x14ac:dyDescent="0.3">
      <c r="A22" s="60" t="s">
        <v>398</v>
      </c>
      <c r="B22" s="7"/>
      <c r="C22" s="7"/>
      <c r="D22" s="7"/>
      <c r="E22" s="7"/>
      <c r="F22" s="7"/>
      <c r="G22" s="7"/>
      <c r="H22" s="60" t="s">
        <v>399</v>
      </c>
      <c r="I22" s="7"/>
      <c r="J22" s="7"/>
      <c r="K22" s="7"/>
      <c r="L22" s="7"/>
      <c r="M22" s="7"/>
      <c r="N22" s="7"/>
    </row>
    <row r="38" spans="1:14" ht="24" customHeight="1" x14ac:dyDescent="0.3">
      <c r="A38" s="71" t="s">
        <v>400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</row>
    <row r="39" spans="1:14" x14ac:dyDescent="0.3">
      <c r="A39" s="72" t="s">
        <v>401</v>
      </c>
      <c r="B39" s="73"/>
      <c r="C39" s="74"/>
      <c r="D39" s="72" t="s">
        <v>402</v>
      </c>
      <c r="E39" s="73"/>
      <c r="F39" s="74"/>
      <c r="G39" s="72" t="s">
        <v>403</v>
      </c>
      <c r="H39" s="73"/>
      <c r="I39" s="74"/>
      <c r="J39" s="72" t="s">
        <v>404</v>
      </c>
      <c r="K39" s="73"/>
      <c r="L39" s="74"/>
      <c r="M39" s="72" t="s">
        <v>405</v>
      </c>
      <c r="N39" s="74"/>
    </row>
    <row r="40" spans="1:14" ht="15.6" x14ac:dyDescent="0.3">
      <c r="A40" s="75" t="str">
        <f>INDEX(A9:A19, MATCH(MAX(C9:C19), C9:C19, 0)) &amp; " (" &amp; TEXT(MAX(C9:C19), "₹#,##0") &amp; ")"</f>
        <v>Food (₹1,285)</v>
      </c>
      <c r="B40" s="76"/>
      <c r="C40" s="77"/>
      <c r="D40" s="78">
        <f>_xlfn.MAXIFS(Transactions!$F:$F, Transactions!$C:$C, "Expense", Transactions!$A:$A, "&gt;="&amp;$B$2, Transactions!$A:$A, "&lt;"&amp;EDATE($B$2,1))</f>
        <v>450</v>
      </c>
      <c r="E40" s="76"/>
      <c r="F40" s="77"/>
      <c r="G40" s="78">
        <f>D4/DAY(EOMONTH($B$2,0))</f>
        <v>125.38709677419355</v>
      </c>
      <c r="H40" s="76"/>
      <c r="I40" s="77"/>
      <c r="J40" s="75" t="str">
        <f>COUNTIF(F9:F19,"Within Budget") &amp; " of 11 within limit"</f>
        <v>10 of 11 within limit</v>
      </c>
      <c r="K40" s="76"/>
      <c r="L40" s="77"/>
      <c r="M40" s="75">
        <f>COUNTIFS(Transactions!$A:$A,"&gt;="&amp;$B$2,Transactions!$A:$A,"&lt;"&amp;EDATE($B$2,1))</f>
        <v>30</v>
      </c>
      <c r="N40" s="77"/>
    </row>
    <row r="42" spans="1:14" x14ac:dyDescent="0.3">
      <c r="A42" s="79" t="str">
        <f>"Financial Health Summary: " &amp; IF(J4&gt;=0.2,"Outstanding savings discipline! You saved " &amp; TEXT(J4,"0.0%") &amp; " of your pocket money, comfortably surpassing the 20% savings target. Keep allocating surplus into your Savings Goals.", IF(J4&gt;0,"Positive cash balance maintained (" &amp; TEXT(J4,"0.0%") &amp; " saved). Look into categories marked 'Near Limit' or 'Over Budget' to reduce discretionary spend and reach 20% savings.", "Warning: Expenses exceeded income this month (Deficit: " &amp; TEXT(ABS(G4),"₹#,##0") &amp; "). Immediate spending reductions required in high-variance categories."))</f>
        <v>Financial Health Summary: Positive cash balance maintained (3.7% saved). Look into categories marked 'Near Limit' or 'Over Budget' to reduce discretionary spend and reach 20% savings.</v>
      </c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1"/>
    </row>
    <row r="43" spans="1:14" x14ac:dyDescent="0.3">
      <c r="A43" s="82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4"/>
    </row>
  </sheetData>
  <mergeCells count="34">
    <mergeCell ref="A42:N43"/>
    <mergeCell ref="A38:N38"/>
    <mergeCell ref="A39:C39"/>
    <mergeCell ref="A40:C40"/>
    <mergeCell ref="D39:F39"/>
    <mergeCell ref="D40:F40"/>
    <mergeCell ref="G39:I39"/>
    <mergeCell ref="G40:I40"/>
    <mergeCell ref="J39:L39"/>
    <mergeCell ref="J40:L40"/>
    <mergeCell ref="M39:N39"/>
    <mergeCell ref="M40:N40"/>
    <mergeCell ref="M4:N4"/>
    <mergeCell ref="M5:N5"/>
    <mergeCell ref="A7:F7"/>
    <mergeCell ref="H7:N7"/>
    <mergeCell ref="A22:G22"/>
    <mergeCell ref="H22:N22"/>
    <mergeCell ref="G4:H4"/>
    <mergeCell ref="G5:H5"/>
    <mergeCell ref="J3:K3"/>
    <mergeCell ref="J4:K4"/>
    <mergeCell ref="J5:K5"/>
    <mergeCell ref="A4:B4"/>
    <mergeCell ref="A5:B5"/>
    <mergeCell ref="D3:E3"/>
    <mergeCell ref="D4:E4"/>
    <mergeCell ref="D5:E5"/>
    <mergeCell ref="A1:N1"/>
    <mergeCell ref="D2:E2"/>
    <mergeCell ref="J2:N2"/>
    <mergeCell ref="A3:B3"/>
    <mergeCell ref="G3:H3"/>
    <mergeCell ref="M3:N3"/>
  </mergeCells>
  <conditionalFormatting sqref="F9:F19">
    <cfRule type="cellIs" dxfId="2" priority="1" stopIfTrue="1" operator="equal">
      <formula>"Within Budget"</formula>
    </cfRule>
    <cfRule type="cellIs" dxfId="1" priority="2" stopIfTrue="1" operator="equal">
      <formula>"Near Limit"</formula>
    </cfRule>
    <cfRule type="cellIs" dxfId="0" priority="3" stopIfTrue="1" operator="equal">
      <formula>"Over Budget"</formula>
    </cfRule>
  </conditionalFormatting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1307987-A6F8-403A-B52A-67AFCB4699B1}">
          <x14:formula1>
            <xm:f>'Monthly Summary'!$A$2:$A$13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1"/>
  <sheetViews>
    <sheetView workbookViewId="0">
      <selection activeCell="F11" sqref="F11"/>
    </sheetView>
  </sheetViews>
  <sheetFormatPr defaultColWidth="9.109375" defaultRowHeight="14.4" x14ac:dyDescent="0.3"/>
  <cols>
    <col min="1" max="1" width="10.33203125" style="1" bestFit="1" customWidth="1"/>
    <col min="2" max="2" width="17.5546875" style="1" bestFit="1" customWidth="1"/>
    <col min="3" max="3" width="9.5546875" style="1" bestFit="1" customWidth="1"/>
    <col min="4" max="4" width="13.77734375" style="1" bestFit="1" customWidth="1"/>
    <col min="5" max="5" width="28" style="1" bestFit="1" customWidth="1"/>
    <col min="6" max="6" width="12.77734375" style="2" bestFit="1" customWidth="1"/>
    <col min="7" max="7" width="20.33203125" style="1" bestFit="1" customWidth="1"/>
    <col min="8" max="8" width="11.21875" style="1" bestFit="1" customWidth="1"/>
    <col min="9" max="9" width="19.5546875" style="1" bestFit="1" customWidth="1"/>
    <col min="10" max="10" width="20.33203125" style="1" bestFit="1" customWidth="1"/>
    <col min="11" max="16384" width="9.109375" style="1"/>
  </cols>
  <sheetData>
    <row r="1" spans="1:10" ht="24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0" t="s">
        <v>6</v>
      </c>
      <c r="H1" s="10" t="s">
        <v>126</v>
      </c>
      <c r="I1" s="10" t="s">
        <v>127</v>
      </c>
      <c r="J1" s="12" t="s">
        <v>128</v>
      </c>
    </row>
    <row r="2" spans="1:10" x14ac:dyDescent="0.3">
      <c r="A2" s="3">
        <v>46023</v>
      </c>
      <c r="B2" s="1" t="s">
        <v>7</v>
      </c>
      <c r="C2" s="1" t="s">
        <v>8</v>
      </c>
      <c r="D2" s="1" t="s">
        <v>9</v>
      </c>
      <c r="E2" s="1" t="s">
        <v>10</v>
      </c>
      <c r="F2" s="2">
        <v>3000</v>
      </c>
      <c r="G2" s="1" t="s">
        <v>11</v>
      </c>
      <c r="H2" s="1" t="str">
        <f>TEXT(A2,"mmm-yyyy")</f>
        <v>Jan-2026</v>
      </c>
      <c r="I2" s="2">
        <f>SUMIFS($F$2:F2,$C$2:C2,"Income")-SUMIFS($F$2:F2,$C$2:C2,"Expense")</f>
        <v>3000</v>
      </c>
      <c r="J2" s="1" t="str">
        <f>IF(C2="Income","-",IFERROR(VLOOKUP(D2,Budget!$A$2:$F$12,6,FALSE),"-"))</f>
        <v>-</v>
      </c>
    </row>
    <row r="3" spans="1:10" x14ac:dyDescent="0.3">
      <c r="A3" s="3">
        <v>46024</v>
      </c>
      <c r="B3" s="1" t="s">
        <v>12</v>
      </c>
      <c r="C3" s="1" t="s">
        <v>13</v>
      </c>
      <c r="D3" s="1" t="s">
        <v>14</v>
      </c>
      <c r="E3" s="1" t="s">
        <v>15</v>
      </c>
      <c r="F3" s="2">
        <v>85</v>
      </c>
      <c r="G3" s="1" t="s">
        <v>11</v>
      </c>
      <c r="H3" s="1" t="str">
        <f t="shared" ref="H3:H33" si="0">TEXT(A3,"mmm-yyyy")</f>
        <v>Jan-2026</v>
      </c>
      <c r="I3" s="2">
        <f>SUMIFS($F$2:F3,$C$2:C3,"Income")-SUMIFS($F$2:F3,$C$2:C3,"Expense")</f>
        <v>2915</v>
      </c>
      <c r="J3" s="1" t="str">
        <f>IF(C3="Income","-",IFERROR(VLOOKUP(D3,Budget!$A$2:$F$12,6,FALSE),"-"))</f>
        <v>Within Budget</v>
      </c>
    </row>
    <row r="4" spans="1:10" x14ac:dyDescent="0.3">
      <c r="A4" s="3">
        <v>46025</v>
      </c>
      <c r="B4" s="1" t="s">
        <v>16</v>
      </c>
      <c r="C4" s="1" t="s">
        <v>13</v>
      </c>
      <c r="D4" s="1" t="s">
        <v>17</v>
      </c>
      <c r="E4" s="1" t="s">
        <v>18</v>
      </c>
      <c r="F4" s="2">
        <v>40</v>
      </c>
      <c r="G4" s="1" t="s">
        <v>19</v>
      </c>
      <c r="H4" s="1" t="str">
        <f t="shared" si="0"/>
        <v>Jan-2026</v>
      </c>
      <c r="I4" s="2">
        <f>SUMIFS($F$2:F4,$C$2:C4,"Income")-SUMIFS($F$2:F4,$C$2:C4,"Expense")</f>
        <v>2875</v>
      </c>
      <c r="J4" s="1" t="str">
        <f>IF(C4="Income","-",IFERROR(VLOOKUP(D4,Budget!$A$2:$F$12,6,FALSE),"-"))</f>
        <v>Within Budget</v>
      </c>
    </row>
    <row r="5" spans="1:10" x14ac:dyDescent="0.3">
      <c r="A5" s="3">
        <v>46026</v>
      </c>
      <c r="B5" s="1" t="s">
        <v>20</v>
      </c>
      <c r="C5" s="1" t="s">
        <v>13</v>
      </c>
      <c r="D5" s="1" t="s">
        <v>14</v>
      </c>
      <c r="E5" s="1" t="s">
        <v>21</v>
      </c>
      <c r="F5" s="2">
        <v>120</v>
      </c>
      <c r="G5" s="1" t="s">
        <v>11</v>
      </c>
      <c r="H5" s="1" t="str">
        <f t="shared" si="0"/>
        <v>Jan-2026</v>
      </c>
      <c r="I5" s="2">
        <f>SUMIFS($F$2:F5,$C$2:C5,"Income")-SUMIFS($F$2:F5,$C$2:C5,"Expense")</f>
        <v>2755</v>
      </c>
      <c r="J5" s="1" t="str">
        <f>IF(C5="Income","-",IFERROR(VLOOKUP(D5,Budget!$A$2:$F$12,6,FALSE),"-"))</f>
        <v>Within Budget</v>
      </c>
    </row>
    <row r="6" spans="1:10" x14ac:dyDescent="0.3">
      <c r="A6" s="3">
        <v>46027</v>
      </c>
      <c r="B6" s="1" t="s">
        <v>22</v>
      </c>
      <c r="C6" s="1" t="s">
        <v>13</v>
      </c>
      <c r="D6" s="1" t="s">
        <v>23</v>
      </c>
      <c r="E6" s="1" t="s">
        <v>24</v>
      </c>
      <c r="F6" s="2">
        <v>180</v>
      </c>
      <c r="G6" s="1" t="s">
        <v>11</v>
      </c>
      <c r="H6" s="1" t="str">
        <f t="shared" si="0"/>
        <v>Jan-2026</v>
      </c>
      <c r="I6" s="2">
        <f>SUMIFS($F$2:F6,$C$2:C6,"Income")-SUMIFS($F$2:F6,$C$2:C6,"Expense")</f>
        <v>2575</v>
      </c>
      <c r="J6" s="1" t="str">
        <f>IF(C6="Income","-",IFERROR(VLOOKUP(D6,Budget!$A$2:$F$12,6,FALSE),"-"))</f>
        <v>Within Budget</v>
      </c>
    </row>
    <row r="7" spans="1:10" x14ac:dyDescent="0.3">
      <c r="A7" s="3">
        <v>46028</v>
      </c>
      <c r="B7" s="1" t="s">
        <v>25</v>
      </c>
      <c r="C7" s="1" t="s">
        <v>13</v>
      </c>
      <c r="D7" s="1" t="s">
        <v>26</v>
      </c>
      <c r="E7" s="1" t="s">
        <v>27</v>
      </c>
      <c r="F7" s="2">
        <v>250</v>
      </c>
      <c r="G7" s="1" t="s">
        <v>11</v>
      </c>
      <c r="H7" s="1" t="str">
        <f t="shared" si="0"/>
        <v>Jan-2026</v>
      </c>
      <c r="I7" s="2">
        <f>SUMIFS($F$2:F7,$C$2:C7,"Income")-SUMIFS($F$2:F7,$C$2:C7,"Expense")</f>
        <v>2325</v>
      </c>
      <c r="J7" s="1" t="str">
        <f>IF(C7="Income","-",IFERROR(VLOOKUP(D7,Budget!$A$2:$F$12,6,FALSE),"-"))</f>
        <v>Near Limit</v>
      </c>
    </row>
    <row r="8" spans="1:10" x14ac:dyDescent="0.3">
      <c r="A8" s="3">
        <v>46029</v>
      </c>
      <c r="B8" s="1" t="s">
        <v>28</v>
      </c>
      <c r="C8" s="1" t="s">
        <v>8</v>
      </c>
      <c r="D8" s="1" t="s">
        <v>29</v>
      </c>
      <c r="E8" s="1" t="s">
        <v>30</v>
      </c>
      <c r="F8" s="2">
        <v>500</v>
      </c>
      <c r="G8" s="1" t="s">
        <v>19</v>
      </c>
      <c r="H8" s="1" t="str">
        <f t="shared" si="0"/>
        <v>Jan-2026</v>
      </c>
      <c r="I8" s="2">
        <f>SUMIFS($F$2:F8,$C$2:C8,"Income")-SUMIFS($F$2:F8,$C$2:C8,"Expense")</f>
        <v>2825</v>
      </c>
      <c r="J8" s="1" t="str">
        <f>IF(C8="Income","-",IFERROR(VLOOKUP(D8,Budget!$A$2:$F$12,6,FALSE),"-"))</f>
        <v>-</v>
      </c>
    </row>
    <row r="9" spans="1:10" x14ac:dyDescent="0.3">
      <c r="A9" s="3">
        <v>46030</v>
      </c>
      <c r="B9" s="1" t="s">
        <v>31</v>
      </c>
      <c r="C9" s="1" t="s">
        <v>13</v>
      </c>
      <c r="D9" s="1" t="s">
        <v>14</v>
      </c>
      <c r="E9" s="1" t="s">
        <v>32</v>
      </c>
      <c r="F9" s="2">
        <v>110</v>
      </c>
      <c r="G9" s="1" t="s">
        <v>19</v>
      </c>
      <c r="H9" s="1" t="str">
        <f t="shared" si="0"/>
        <v>Jan-2026</v>
      </c>
      <c r="I9" s="2">
        <f>SUMIFS($F$2:F9,$C$2:C9,"Income")-SUMIFS($F$2:F9,$C$2:C9,"Expense")</f>
        <v>2715</v>
      </c>
      <c r="J9" s="1" t="str">
        <f>IF(C9="Income","-",IFERROR(VLOOKUP(D9,Budget!$A$2:$F$12,6,FALSE),"-"))</f>
        <v>Within Budget</v>
      </c>
    </row>
    <row r="10" spans="1:10" x14ac:dyDescent="0.3">
      <c r="A10" s="3">
        <v>46031</v>
      </c>
      <c r="B10" s="1" t="s">
        <v>33</v>
      </c>
      <c r="C10" s="1" t="s">
        <v>13</v>
      </c>
      <c r="D10" s="1" t="s">
        <v>17</v>
      </c>
      <c r="E10" s="1" t="s">
        <v>34</v>
      </c>
      <c r="F10" s="2">
        <v>90</v>
      </c>
      <c r="G10" s="1" t="s">
        <v>11</v>
      </c>
      <c r="H10" s="1" t="str">
        <f t="shared" si="0"/>
        <v>Jan-2026</v>
      </c>
      <c r="I10" s="2">
        <f>SUMIFS($F$2:F10,$C$2:C10,"Income")-SUMIFS($F$2:F10,$C$2:C10,"Expense")</f>
        <v>2625</v>
      </c>
      <c r="J10" s="1" t="str">
        <f>IF(C10="Income","-",IFERROR(VLOOKUP(D10,Budget!$A$2:$F$12,6,FALSE),"-"))</f>
        <v>Within Budget</v>
      </c>
    </row>
    <row r="11" spans="1:10" x14ac:dyDescent="0.3">
      <c r="A11" s="3">
        <v>46032</v>
      </c>
      <c r="B11" s="1" t="s">
        <v>35</v>
      </c>
      <c r="C11" s="1" t="s">
        <v>13</v>
      </c>
      <c r="D11" s="1" t="s">
        <v>36</v>
      </c>
      <c r="E11" s="1" t="s">
        <v>37</v>
      </c>
      <c r="F11" s="2">
        <v>239</v>
      </c>
      <c r="G11" s="1" t="s">
        <v>11</v>
      </c>
      <c r="H11" s="1" t="str">
        <f t="shared" si="0"/>
        <v>Jan-2026</v>
      </c>
      <c r="I11" s="2">
        <f>SUMIFS($F$2:F11,$C$2:C11,"Income")-SUMIFS($F$2:F11,$C$2:C11,"Expense")</f>
        <v>2386</v>
      </c>
      <c r="J11" s="1" t="str">
        <f>IF(C11="Income","-",IFERROR(VLOOKUP(D11,Budget!$A$2:$F$12,6,FALSE),"-"))</f>
        <v>Within Budget</v>
      </c>
    </row>
    <row r="12" spans="1:10" x14ac:dyDescent="0.3">
      <c r="A12" s="3">
        <v>46033</v>
      </c>
      <c r="B12" s="1" t="s">
        <v>38</v>
      </c>
      <c r="C12" s="1" t="s">
        <v>13</v>
      </c>
      <c r="D12" s="1" t="s">
        <v>14</v>
      </c>
      <c r="E12" s="1" t="s">
        <v>39</v>
      </c>
      <c r="F12" s="2">
        <v>160</v>
      </c>
      <c r="G12" s="1" t="s">
        <v>11</v>
      </c>
      <c r="H12" s="1" t="str">
        <f t="shared" si="0"/>
        <v>Jan-2026</v>
      </c>
      <c r="I12" s="2">
        <f>SUMIFS($F$2:F12,$C$2:C12,"Income")-SUMIFS($F$2:F12,$C$2:C12,"Expense")</f>
        <v>2226</v>
      </c>
      <c r="J12" s="1" t="str">
        <f>IF(C12="Income","-",IFERROR(VLOOKUP(D12,Budget!$A$2:$F$12,6,FALSE),"-"))</f>
        <v>Within Budget</v>
      </c>
    </row>
    <row r="13" spans="1:10" x14ac:dyDescent="0.3">
      <c r="A13" s="3">
        <v>46034</v>
      </c>
      <c r="B13" s="1" t="s">
        <v>40</v>
      </c>
      <c r="C13" s="1" t="s">
        <v>13</v>
      </c>
      <c r="D13" s="1" t="s">
        <v>41</v>
      </c>
      <c r="E13" s="1" t="s">
        <v>42</v>
      </c>
      <c r="F13" s="2">
        <v>450</v>
      </c>
      <c r="G13" s="1" t="s">
        <v>11</v>
      </c>
      <c r="H13" s="1" t="str">
        <f t="shared" si="0"/>
        <v>Jan-2026</v>
      </c>
      <c r="I13" s="2">
        <f>SUMIFS($F$2:F13,$C$2:C13,"Income")-SUMIFS($F$2:F13,$C$2:C13,"Expense")</f>
        <v>1776</v>
      </c>
      <c r="J13" s="1" t="str">
        <f>IF(C13="Income","-",IFERROR(VLOOKUP(D13,Budget!$A$2:$F$12,6,FALSE),"-"))</f>
        <v>Within Budget</v>
      </c>
    </row>
    <row r="14" spans="1:10" x14ac:dyDescent="0.3">
      <c r="A14" s="3">
        <v>46035</v>
      </c>
      <c r="B14" s="1" t="s">
        <v>43</v>
      </c>
      <c r="C14" s="1" t="s">
        <v>13</v>
      </c>
      <c r="D14" s="1" t="s">
        <v>17</v>
      </c>
      <c r="E14" s="1" t="s">
        <v>18</v>
      </c>
      <c r="F14" s="2">
        <v>40</v>
      </c>
      <c r="G14" s="1" t="s">
        <v>19</v>
      </c>
      <c r="H14" s="1" t="str">
        <f t="shared" si="0"/>
        <v>Jan-2026</v>
      </c>
      <c r="I14" s="2">
        <f>SUMIFS($F$2:F14,$C$2:C14,"Income")-SUMIFS($F$2:F14,$C$2:C14,"Expense")</f>
        <v>1736</v>
      </c>
      <c r="J14" s="1" t="str">
        <f>IF(C14="Income","-",IFERROR(VLOOKUP(D14,Budget!$A$2:$F$12,6,FALSE),"-"))</f>
        <v>Within Budget</v>
      </c>
    </row>
    <row r="15" spans="1:10" x14ac:dyDescent="0.3">
      <c r="A15" s="3">
        <v>46036</v>
      </c>
      <c r="B15" s="1" t="s">
        <v>44</v>
      </c>
      <c r="C15" s="1" t="s">
        <v>8</v>
      </c>
      <c r="D15" s="1" t="s">
        <v>9</v>
      </c>
      <c r="E15" s="1" t="s">
        <v>45</v>
      </c>
      <c r="F15" s="2">
        <v>500</v>
      </c>
      <c r="G15" s="1" t="s">
        <v>11</v>
      </c>
      <c r="H15" s="1" t="str">
        <f t="shared" si="0"/>
        <v>Jan-2026</v>
      </c>
      <c r="I15" s="2">
        <f>SUMIFS($F$2:F15,$C$2:C15,"Income")-SUMIFS($F$2:F15,$C$2:C15,"Expense")</f>
        <v>2236</v>
      </c>
      <c r="J15" s="1" t="str">
        <f>IF(C15="Income","-",IFERROR(VLOOKUP(D15,Budget!$A$2:$F$12,6,FALSE),"-"))</f>
        <v>-</v>
      </c>
    </row>
    <row r="16" spans="1:10" x14ac:dyDescent="0.3">
      <c r="A16" s="3">
        <v>46037</v>
      </c>
      <c r="B16" s="1" t="s">
        <v>46</v>
      </c>
      <c r="C16" s="1" t="s">
        <v>13</v>
      </c>
      <c r="D16" s="1" t="s">
        <v>14</v>
      </c>
      <c r="E16" s="1" t="s">
        <v>47</v>
      </c>
      <c r="F16" s="2">
        <v>130</v>
      </c>
      <c r="G16" s="1" t="s">
        <v>11</v>
      </c>
      <c r="H16" s="1" t="str">
        <f t="shared" si="0"/>
        <v>Jan-2026</v>
      </c>
      <c r="I16" s="2">
        <f>SUMIFS($F$2:F16,$C$2:C16,"Income")-SUMIFS($F$2:F16,$C$2:C16,"Expense")</f>
        <v>2106</v>
      </c>
      <c r="J16" s="1" t="str">
        <f>IF(C16="Income","-",IFERROR(VLOOKUP(D16,Budget!$A$2:$F$12,6,FALSE),"-"))</f>
        <v>Within Budget</v>
      </c>
    </row>
    <row r="17" spans="1:10" x14ac:dyDescent="0.3">
      <c r="A17" s="3">
        <v>46038</v>
      </c>
      <c r="B17" s="1" t="s">
        <v>48</v>
      </c>
      <c r="C17" s="1" t="s">
        <v>13</v>
      </c>
      <c r="D17" s="1" t="s">
        <v>49</v>
      </c>
      <c r="E17" s="1" t="s">
        <v>50</v>
      </c>
      <c r="F17" s="2">
        <v>95</v>
      </c>
      <c r="G17" s="1" t="s">
        <v>19</v>
      </c>
      <c r="H17" s="1" t="str">
        <f t="shared" si="0"/>
        <v>Jan-2026</v>
      </c>
      <c r="I17" s="2">
        <f>SUMIFS($F$2:F17,$C$2:C17,"Income")-SUMIFS($F$2:F17,$C$2:C17,"Expense")</f>
        <v>2011</v>
      </c>
      <c r="J17" s="1" t="str">
        <f>IF(C17="Income","-",IFERROR(VLOOKUP(D17,Budget!$A$2:$F$12,6,FALSE),"-"))</f>
        <v>Within Budget</v>
      </c>
    </row>
    <row r="18" spans="1:10" x14ac:dyDescent="0.3">
      <c r="A18" s="3">
        <v>46039</v>
      </c>
      <c r="B18" s="1" t="s">
        <v>51</v>
      </c>
      <c r="C18" s="1" t="s">
        <v>13</v>
      </c>
      <c r="D18" s="1" t="s">
        <v>26</v>
      </c>
      <c r="E18" s="1" t="s">
        <v>52</v>
      </c>
      <c r="F18" s="2">
        <v>199</v>
      </c>
      <c r="G18" s="1" t="s">
        <v>11</v>
      </c>
      <c r="H18" s="1" t="str">
        <f t="shared" si="0"/>
        <v>Jan-2026</v>
      </c>
      <c r="I18" s="2">
        <f>SUMIFS($F$2:F18,$C$2:C18,"Income")-SUMIFS($F$2:F18,$C$2:C18,"Expense")</f>
        <v>1812</v>
      </c>
      <c r="J18" s="1" t="str">
        <f>IF(C18="Income","-",IFERROR(VLOOKUP(D18,Budget!$A$2:$F$12,6,FALSE),"-"))</f>
        <v>Near Limit</v>
      </c>
    </row>
    <row r="19" spans="1:10" x14ac:dyDescent="0.3">
      <c r="A19" s="3">
        <v>46040</v>
      </c>
      <c r="B19" s="1" t="s">
        <v>53</v>
      </c>
      <c r="C19" s="1" t="s">
        <v>13</v>
      </c>
      <c r="D19" s="1" t="s">
        <v>14</v>
      </c>
      <c r="E19" s="1" t="s">
        <v>54</v>
      </c>
      <c r="F19" s="2">
        <v>75</v>
      </c>
      <c r="G19" s="1" t="s">
        <v>19</v>
      </c>
      <c r="H19" s="1" t="str">
        <f t="shared" si="0"/>
        <v>Jan-2026</v>
      </c>
      <c r="I19" s="2">
        <f>SUMIFS($F$2:F19,$C$2:C19,"Income")-SUMIFS($F$2:F19,$C$2:C19,"Expense")</f>
        <v>1737</v>
      </c>
      <c r="J19" s="1" t="str">
        <f>IF(C19="Income","-",IFERROR(VLOOKUP(D19,Budget!$A$2:$F$12,6,FALSE),"-"))</f>
        <v>Within Budget</v>
      </c>
    </row>
    <row r="20" spans="1:10" x14ac:dyDescent="0.3">
      <c r="A20" s="3">
        <v>46041</v>
      </c>
      <c r="B20" s="1" t="s">
        <v>55</v>
      </c>
      <c r="C20" s="1" t="s">
        <v>13</v>
      </c>
      <c r="D20" s="1" t="s">
        <v>17</v>
      </c>
      <c r="E20" s="1" t="s">
        <v>56</v>
      </c>
      <c r="F20" s="2">
        <v>100</v>
      </c>
      <c r="G20" s="1" t="s">
        <v>11</v>
      </c>
      <c r="H20" s="1" t="str">
        <f t="shared" si="0"/>
        <v>Jan-2026</v>
      </c>
      <c r="I20" s="2">
        <f>SUMIFS($F$2:F20,$C$2:C20,"Income")-SUMIFS($F$2:F20,$C$2:C20,"Expense")</f>
        <v>1637</v>
      </c>
      <c r="J20" s="1" t="str">
        <f>IF(C20="Income","-",IFERROR(VLOOKUP(D20,Budget!$A$2:$F$12,6,FALSE),"-"))</f>
        <v>Within Budget</v>
      </c>
    </row>
    <row r="21" spans="1:10" x14ac:dyDescent="0.3">
      <c r="A21" s="3">
        <v>46042</v>
      </c>
      <c r="B21" s="1" t="s">
        <v>57</v>
      </c>
      <c r="C21" s="1" t="s">
        <v>13</v>
      </c>
      <c r="D21" s="1" t="s">
        <v>58</v>
      </c>
      <c r="E21" s="1" t="s">
        <v>59</v>
      </c>
      <c r="F21" s="2">
        <v>220</v>
      </c>
      <c r="G21" s="1" t="s">
        <v>11</v>
      </c>
      <c r="H21" s="1" t="str">
        <f t="shared" si="0"/>
        <v>Jan-2026</v>
      </c>
      <c r="I21" s="2">
        <f>SUMIFS($F$2:F21,$C$2:C21,"Income")-SUMIFS($F$2:F21,$C$2:C21,"Expense")</f>
        <v>1417</v>
      </c>
      <c r="J21" s="1" t="str">
        <f>IF(C21="Income","-",IFERROR(VLOOKUP(D21,Budget!$A$2:$F$12,6,FALSE),"-"))</f>
        <v>Within Budget</v>
      </c>
    </row>
    <row r="22" spans="1:10" x14ac:dyDescent="0.3">
      <c r="A22" s="3">
        <v>46043</v>
      </c>
      <c r="B22" s="1" t="s">
        <v>60</v>
      </c>
      <c r="C22" s="1" t="s">
        <v>13</v>
      </c>
      <c r="D22" s="1" t="s">
        <v>14</v>
      </c>
      <c r="E22" s="1" t="s">
        <v>47</v>
      </c>
      <c r="F22" s="2">
        <v>140</v>
      </c>
      <c r="G22" s="1" t="s">
        <v>11</v>
      </c>
      <c r="H22" s="1" t="str">
        <f t="shared" si="0"/>
        <v>Jan-2026</v>
      </c>
      <c r="I22" s="2">
        <f>SUMIFS($F$2:F22,$C$2:C22,"Income")-SUMIFS($F$2:F22,$C$2:C22,"Expense")</f>
        <v>1277</v>
      </c>
      <c r="J22" s="1" t="str">
        <f>IF(C22="Income","-",IFERROR(VLOOKUP(D22,Budget!$A$2:$F$12,6,FALSE),"-"))</f>
        <v>Within Budget</v>
      </c>
    </row>
    <row r="23" spans="1:10" x14ac:dyDescent="0.3">
      <c r="A23" s="3">
        <v>46044</v>
      </c>
      <c r="B23" s="1" t="s">
        <v>61</v>
      </c>
      <c r="C23" s="1" t="s">
        <v>13</v>
      </c>
      <c r="D23" s="1" t="s">
        <v>41</v>
      </c>
      <c r="E23" s="1" t="s">
        <v>62</v>
      </c>
      <c r="F23" s="2">
        <v>300</v>
      </c>
      <c r="G23" s="1" t="s">
        <v>11</v>
      </c>
      <c r="H23" s="1" t="str">
        <f t="shared" si="0"/>
        <v>Jan-2026</v>
      </c>
      <c r="I23" s="2">
        <f>SUMIFS($F$2:F23,$C$2:C23,"Income")-SUMIFS($F$2:F23,$C$2:C23,"Expense")</f>
        <v>977</v>
      </c>
      <c r="J23" s="1" t="str">
        <f>IF(C23="Income","-",IFERROR(VLOOKUP(D23,Budget!$A$2:$F$12,6,FALSE),"-"))</f>
        <v>Within Budget</v>
      </c>
    </row>
    <row r="24" spans="1:10" x14ac:dyDescent="0.3">
      <c r="A24" s="3">
        <v>46045</v>
      </c>
      <c r="B24" s="1" t="s">
        <v>63</v>
      </c>
      <c r="C24" s="1" t="s">
        <v>13</v>
      </c>
      <c r="D24" s="1" t="s">
        <v>17</v>
      </c>
      <c r="E24" s="1" t="s">
        <v>18</v>
      </c>
      <c r="F24" s="2">
        <v>40</v>
      </c>
      <c r="G24" s="1" t="s">
        <v>19</v>
      </c>
      <c r="H24" s="1" t="str">
        <f t="shared" si="0"/>
        <v>Jan-2026</v>
      </c>
      <c r="I24" s="2">
        <f>SUMIFS($F$2:F24,$C$2:C24,"Income")-SUMIFS($F$2:F24,$C$2:C24,"Expense")</f>
        <v>937</v>
      </c>
      <c r="J24" s="1" t="str">
        <f>IF(C24="Income","-",IFERROR(VLOOKUP(D24,Budget!$A$2:$F$12,6,FALSE),"-"))</f>
        <v>Within Budget</v>
      </c>
    </row>
    <row r="25" spans="1:10" x14ac:dyDescent="0.3">
      <c r="A25" s="3">
        <v>46046</v>
      </c>
      <c r="B25" s="1" t="s">
        <v>64</v>
      </c>
      <c r="C25" s="1" t="s">
        <v>13</v>
      </c>
      <c r="D25" s="1" t="s">
        <v>14</v>
      </c>
      <c r="E25" s="1" t="s">
        <v>65</v>
      </c>
      <c r="F25" s="2">
        <v>210</v>
      </c>
      <c r="G25" s="1" t="s">
        <v>11</v>
      </c>
      <c r="H25" s="1" t="str">
        <f t="shared" si="0"/>
        <v>Jan-2026</v>
      </c>
      <c r="I25" s="2">
        <f>SUMIFS($F$2:F25,$C$2:C25,"Income")-SUMIFS($F$2:F25,$C$2:C25,"Expense")</f>
        <v>727</v>
      </c>
      <c r="J25" s="1" t="str">
        <f>IF(C25="Income","-",IFERROR(VLOOKUP(D25,Budget!$A$2:$F$12,6,FALSE),"-"))</f>
        <v>Within Budget</v>
      </c>
    </row>
    <row r="26" spans="1:10" x14ac:dyDescent="0.3">
      <c r="A26" s="3">
        <v>46047</v>
      </c>
      <c r="B26" s="1" t="s">
        <v>66</v>
      </c>
      <c r="C26" s="1" t="s">
        <v>8</v>
      </c>
      <c r="D26" s="1" t="s">
        <v>67</v>
      </c>
      <c r="E26" s="1" t="s">
        <v>68</v>
      </c>
      <c r="F26" s="2">
        <v>35</v>
      </c>
      <c r="G26" s="1" t="s">
        <v>69</v>
      </c>
      <c r="H26" s="1" t="str">
        <f t="shared" si="0"/>
        <v>Jan-2026</v>
      </c>
      <c r="I26" s="2">
        <f>SUMIFS($F$2:F26,$C$2:C26,"Income")-SUMIFS($F$2:F26,$C$2:C26,"Expense")</f>
        <v>762</v>
      </c>
      <c r="J26" s="1" t="str">
        <f>IF(C26="Income","-",IFERROR(VLOOKUP(D26,Budget!$A$2:$F$12,6,FALSE),"-"))</f>
        <v>-</v>
      </c>
    </row>
    <row r="27" spans="1:10" x14ac:dyDescent="0.3">
      <c r="A27" s="3">
        <v>46048</v>
      </c>
      <c r="B27" s="1" t="s">
        <v>70</v>
      </c>
      <c r="C27" s="1" t="s">
        <v>13</v>
      </c>
      <c r="D27" s="1" t="s">
        <v>49</v>
      </c>
      <c r="E27" s="1" t="s">
        <v>71</v>
      </c>
      <c r="F27" s="2">
        <v>160</v>
      </c>
      <c r="G27" s="1" t="s">
        <v>11</v>
      </c>
      <c r="H27" s="1" t="str">
        <f t="shared" si="0"/>
        <v>Jan-2026</v>
      </c>
      <c r="I27" s="2">
        <f>SUMIFS($F$2:F27,$C$2:C27,"Income")-SUMIFS($F$2:F27,$C$2:C27,"Expense")</f>
        <v>602</v>
      </c>
      <c r="J27" s="1" t="str">
        <f>IF(C27="Income","-",IFERROR(VLOOKUP(D27,Budget!$A$2:$F$12,6,FALSE),"-"))</f>
        <v>Within Budget</v>
      </c>
    </row>
    <row r="28" spans="1:10" x14ac:dyDescent="0.3">
      <c r="A28" s="3">
        <v>46049</v>
      </c>
      <c r="B28" s="1" t="s">
        <v>72</v>
      </c>
      <c r="C28" s="1" t="s">
        <v>13</v>
      </c>
      <c r="D28" s="1" t="s">
        <v>14</v>
      </c>
      <c r="E28" s="1" t="s">
        <v>54</v>
      </c>
      <c r="F28" s="2">
        <v>80</v>
      </c>
      <c r="G28" s="1" t="s">
        <v>19</v>
      </c>
      <c r="H28" s="1" t="str">
        <f t="shared" si="0"/>
        <v>Jan-2026</v>
      </c>
      <c r="I28" s="2">
        <f>SUMIFS($F$2:F28,$C$2:C28,"Income")-SUMIFS($F$2:F28,$C$2:C28,"Expense")</f>
        <v>522</v>
      </c>
      <c r="J28" s="1" t="str">
        <f>IF(C28="Income","-",IFERROR(VLOOKUP(D28,Budget!$A$2:$F$12,6,FALSE),"-"))</f>
        <v>Within Budget</v>
      </c>
    </row>
    <row r="29" spans="1:10" x14ac:dyDescent="0.3">
      <c r="A29" s="3">
        <v>46050</v>
      </c>
      <c r="B29" s="1" t="s">
        <v>73</v>
      </c>
      <c r="C29" s="1" t="s">
        <v>13</v>
      </c>
      <c r="D29" s="1" t="s">
        <v>26</v>
      </c>
      <c r="E29" s="1" t="s">
        <v>74</v>
      </c>
      <c r="F29" s="2">
        <v>119</v>
      </c>
      <c r="G29" s="1" t="s">
        <v>11</v>
      </c>
      <c r="H29" s="1" t="str">
        <f t="shared" si="0"/>
        <v>Jan-2026</v>
      </c>
      <c r="I29" s="2">
        <f>SUMIFS($F$2:F29,$C$2:C29,"Income")-SUMIFS($F$2:F29,$C$2:C29,"Expense")</f>
        <v>403</v>
      </c>
      <c r="J29" s="1" t="str">
        <f>IF(C29="Income","-",IFERROR(VLOOKUP(D29,Budget!$A$2:$F$12,6,FALSE),"-"))</f>
        <v>Near Limit</v>
      </c>
    </row>
    <row r="30" spans="1:10" x14ac:dyDescent="0.3">
      <c r="A30" s="3">
        <v>46051</v>
      </c>
      <c r="B30" s="1" t="s">
        <v>75</v>
      </c>
      <c r="C30" s="1" t="s">
        <v>13</v>
      </c>
      <c r="D30" s="1" t="s">
        <v>17</v>
      </c>
      <c r="E30" s="1" t="s">
        <v>34</v>
      </c>
      <c r="F30" s="2">
        <v>80</v>
      </c>
      <c r="G30" s="1" t="s">
        <v>19</v>
      </c>
      <c r="H30" s="1" t="str">
        <f t="shared" si="0"/>
        <v>Jan-2026</v>
      </c>
      <c r="I30" s="2">
        <f>SUMIFS($F$2:F30,$C$2:C30,"Income")-SUMIFS($F$2:F30,$C$2:C30,"Expense")</f>
        <v>323</v>
      </c>
      <c r="J30" s="1" t="str">
        <f>IF(C30="Income","-",IFERROR(VLOOKUP(D30,Budget!$A$2:$F$12,6,FALSE),"-"))</f>
        <v>Within Budget</v>
      </c>
    </row>
    <row r="31" spans="1:10" x14ac:dyDescent="0.3">
      <c r="A31" s="3">
        <v>46052</v>
      </c>
      <c r="B31" s="1" t="s">
        <v>76</v>
      </c>
      <c r="C31" s="1" t="s">
        <v>13</v>
      </c>
      <c r="D31" s="1" t="s">
        <v>14</v>
      </c>
      <c r="E31" s="1" t="s">
        <v>39</v>
      </c>
      <c r="F31" s="2">
        <v>175</v>
      </c>
      <c r="G31" s="1" t="s">
        <v>11</v>
      </c>
      <c r="H31" s="1" t="str">
        <f t="shared" si="0"/>
        <v>Jan-2026</v>
      </c>
      <c r="I31" s="2">
        <f>SUMIFS($F$2:F31,$C$2:C31,"Income")-SUMIFS($F$2:F31,$C$2:C31,"Expense")</f>
        <v>148</v>
      </c>
      <c r="J31" s="1" t="str">
        <f>IF(C31="Income","-",IFERROR(VLOOKUP(D31,Budget!$A$2:$F$12,6,FALSE),"-"))</f>
        <v>Within Budget</v>
      </c>
    </row>
    <row r="32" spans="1:10" x14ac:dyDescent="0.3">
      <c r="A32" s="3">
        <v>46054</v>
      </c>
      <c r="B32" s="1" t="s">
        <v>77</v>
      </c>
      <c r="C32" s="1" t="s">
        <v>8</v>
      </c>
      <c r="D32" s="1" t="s">
        <v>9</v>
      </c>
      <c r="E32" s="1" t="s">
        <v>78</v>
      </c>
      <c r="F32" s="2">
        <v>3000</v>
      </c>
      <c r="G32" s="1" t="s">
        <v>11</v>
      </c>
      <c r="H32" s="1" t="str">
        <f t="shared" si="0"/>
        <v>Feb-2026</v>
      </c>
      <c r="I32" s="2">
        <f>SUMIFS($F$2:F32,$C$2:C32,"Income")-SUMIFS($F$2:F32,$C$2:C32,"Expense")</f>
        <v>3148</v>
      </c>
      <c r="J32" s="1" t="str">
        <f>IF(C32="Income","-",IFERROR(VLOOKUP(D32,Budget!$A$2:$F$12,6,FALSE),"-"))</f>
        <v>-</v>
      </c>
    </row>
    <row r="33" spans="1:10" x14ac:dyDescent="0.3">
      <c r="A33" s="3">
        <v>46055</v>
      </c>
      <c r="B33" s="1" t="s">
        <v>79</v>
      </c>
      <c r="C33" s="1" t="s">
        <v>13</v>
      </c>
      <c r="D33" s="1" t="s">
        <v>14</v>
      </c>
      <c r="E33" s="1" t="s">
        <v>80</v>
      </c>
      <c r="F33" s="2">
        <v>70</v>
      </c>
      <c r="G33" s="1" t="s">
        <v>11</v>
      </c>
      <c r="H33" s="1" t="str">
        <f t="shared" si="0"/>
        <v>Feb-2026</v>
      </c>
      <c r="I33" s="2">
        <f>SUMIFS($F$2:F33,$C$2:C33,"Income")-SUMIFS($F$2:F33,$C$2:C33,"Expense")</f>
        <v>3078</v>
      </c>
      <c r="J33" s="1" t="str">
        <f>IF(C33="Income","-",IFERROR(VLOOKUP(D33,Budget!$A$2:$F$12,6,FALSE),"-"))</f>
        <v>Within Budget</v>
      </c>
    </row>
    <row r="34" spans="1:10" x14ac:dyDescent="0.3">
      <c r="A34" s="3">
        <v>46056</v>
      </c>
      <c r="B34" s="1" t="s">
        <v>81</v>
      </c>
      <c r="C34" s="1" t="s">
        <v>13</v>
      </c>
      <c r="D34" s="1" t="s">
        <v>17</v>
      </c>
      <c r="E34" s="1" t="s">
        <v>18</v>
      </c>
      <c r="F34" s="2">
        <v>40</v>
      </c>
      <c r="G34" s="1" t="s">
        <v>19</v>
      </c>
      <c r="H34" s="1" t="str">
        <f t="shared" ref="H34:H61" si="1">TEXT(A34,"mmm-yyyy")</f>
        <v>Feb-2026</v>
      </c>
      <c r="I34" s="2">
        <f>SUMIFS($F$2:F34,$C$2:C34,"Income")-SUMIFS($F$2:F34,$C$2:C34,"Expense")</f>
        <v>3038</v>
      </c>
      <c r="J34" s="1" t="str">
        <f>IF(C34="Income","-",IFERROR(VLOOKUP(D34,Budget!$A$2:$F$12,6,FALSE),"-"))</f>
        <v>Within Budget</v>
      </c>
    </row>
    <row r="35" spans="1:10" x14ac:dyDescent="0.3">
      <c r="A35" s="3">
        <v>46057</v>
      </c>
      <c r="B35" s="1" t="s">
        <v>82</v>
      </c>
      <c r="C35" s="1" t="s">
        <v>13</v>
      </c>
      <c r="D35" s="1" t="s">
        <v>23</v>
      </c>
      <c r="E35" s="1" t="s">
        <v>83</v>
      </c>
      <c r="F35" s="2">
        <v>145</v>
      </c>
      <c r="G35" s="1" t="s">
        <v>11</v>
      </c>
      <c r="H35" s="1" t="str">
        <f t="shared" si="1"/>
        <v>Feb-2026</v>
      </c>
      <c r="I35" s="2">
        <f>SUMIFS($F$2:F35,$C$2:C35,"Income")-SUMIFS($F$2:F35,$C$2:C35,"Expense")</f>
        <v>2893</v>
      </c>
      <c r="J35" s="1" t="str">
        <f>IF(C35="Income","-",IFERROR(VLOOKUP(D35,Budget!$A$2:$F$12,6,FALSE),"-"))</f>
        <v>Within Budget</v>
      </c>
    </row>
    <row r="36" spans="1:10" x14ac:dyDescent="0.3">
      <c r="A36" s="3">
        <v>46058</v>
      </c>
      <c r="B36" s="1" t="s">
        <v>84</v>
      </c>
      <c r="C36" s="1" t="s">
        <v>13</v>
      </c>
      <c r="D36" s="1" t="s">
        <v>14</v>
      </c>
      <c r="E36" s="1" t="s">
        <v>47</v>
      </c>
      <c r="F36" s="2">
        <v>125</v>
      </c>
      <c r="G36" s="1" t="s">
        <v>11</v>
      </c>
      <c r="H36" s="1" t="str">
        <f t="shared" si="1"/>
        <v>Feb-2026</v>
      </c>
      <c r="I36" s="2">
        <f>SUMIFS($F$2:F36,$C$2:C36,"Income")-SUMIFS($F$2:F36,$C$2:C36,"Expense")</f>
        <v>2768</v>
      </c>
      <c r="J36" s="1" t="str">
        <f>IF(C36="Income","-",IFERROR(VLOOKUP(D36,Budget!$A$2:$F$12,6,FALSE),"-"))</f>
        <v>Within Budget</v>
      </c>
    </row>
    <row r="37" spans="1:10" x14ac:dyDescent="0.3">
      <c r="A37" s="3">
        <v>46059</v>
      </c>
      <c r="B37" s="1" t="s">
        <v>85</v>
      </c>
      <c r="C37" s="1" t="s">
        <v>13</v>
      </c>
      <c r="D37" s="1" t="s">
        <v>26</v>
      </c>
      <c r="E37" s="1" t="s">
        <v>86</v>
      </c>
      <c r="F37" s="2">
        <v>320</v>
      </c>
      <c r="G37" s="1" t="s">
        <v>11</v>
      </c>
      <c r="H37" s="1" t="str">
        <f t="shared" si="1"/>
        <v>Feb-2026</v>
      </c>
      <c r="I37" s="2">
        <f>SUMIFS($F$2:F37,$C$2:C37,"Income")-SUMIFS($F$2:F37,$C$2:C37,"Expense")</f>
        <v>2448</v>
      </c>
      <c r="J37" s="1" t="str">
        <f>IF(C37="Income","-",IFERROR(VLOOKUP(D37,Budget!$A$2:$F$12,6,FALSE),"-"))</f>
        <v>Near Limit</v>
      </c>
    </row>
    <row r="38" spans="1:10" x14ac:dyDescent="0.3">
      <c r="A38" s="3">
        <v>46060</v>
      </c>
      <c r="B38" s="1" t="s">
        <v>87</v>
      </c>
      <c r="C38" s="1" t="s">
        <v>8</v>
      </c>
      <c r="D38" s="1" t="s">
        <v>29</v>
      </c>
      <c r="E38" s="1" t="s">
        <v>88</v>
      </c>
      <c r="F38" s="2">
        <v>1000</v>
      </c>
      <c r="G38" s="1" t="s">
        <v>19</v>
      </c>
      <c r="H38" s="1" t="str">
        <f t="shared" si="1"/>
        <v>Feb-2026</v>
      </c>
      <c r="I38" s="2">
        <f>SUMIFS($F$2:F38,$C$2:C38,"Income")-SUMIFS($F$2:F38,$C$2:C38,"Expense")</f>
        <v>3448</v>
      </c>
      <c r="J38" s="1" t="str">
        <f>IF(C38="Income","-",IFERROR(VLOOKUP(D38,Budget!$A$2:$F$12,6,FALSE),"-"))</f>
        <v>-</v>
      </c>
    </row>
    <row r="39" spans="1:10" x14ac:dyDescent="0.3">
      <c r="A39" s="3">
        <v>46061</v>
      </c>
      <c r="B39" s="1" t="s">
        <v>89</v>
      </c>
      <c r="C39" s="1" t="s">
        <v>13</v>
      </c>
      <c r="D39" s="1" t="s">
        <v>41</v>
      </c>
      <c r="E39" s="1" t="s">
        <v>90</v>
      </c>
      <c r="F39" s="2">
        <v>850</v>
      </c>
      <c r="G39" s="1" t="s">
        <v>11</v>
      </c>
      <c r="H39" s="1" t="str">
        <f t="shared" si="1"/>
        <v>Feb-2026</v>
      </c>
      <c r="I39" s="2">
        <f>SUMIFS($F$2:F39,$C$2:C39,"Income")-SUMIFS($F$2:F39,$C$2:C39,"Expense")</f>
        <v>2598</v>
      </c>
      <c r="J39" s="1" t="str">
        <f>IF(C39="Income","-",IFERROR(VLOOKUP(D39,Budget!$A$2:$F$12,6,FALSE),"-"))</f>
        <v>Within Budget</v>
      </c>
    </row>
    <row r="40" spans="1:10" x14ac:dyDescent="0.3">
      <c r="A40" s="3">
        <v>46062</v>
      </c>
      <c r="B40" s="1" t="s">
        <v>91</v>
      </c>
      <c r="C40" s="1" t="s">
        <v>13</v>
      </c>
      <c r="D40" s="1" t="s">
        <v>14</v>
      </c>
      <c r="E40" s="1" t="s">
        <v>54</v>
      </c>
      <c r="F40" s="2">
        <v>95</v>
      </c>
      <c r="G40" s="1" t="s">
        <v>19</v>
      </c>
      <c r="H40" s="1" t="str">
        <f t="shared" si="1"/>
        <v>Feb-2026</v>
      </c>
      <c r="I40" s="2">
        <f>SUMIFS($F$2:F40,$C$2:C40,"Income")-SUMIFS($F$2:F40,$C$2:C40,"Expense")</f>
        <v>2503</v>
      </c>
      <c r="J40" s="1" t="str">
        <f>IF(C40="Income","-",IFERROR(VLOOKUP(D40,Budget!$A$2:$F$12,6,FALSE),"-"))</f>
        <v>Within Budget</v>
      </c>
    </row>
    <row r="41" spans="1:10" x14ac:dyDescent="0.3">
      <c r="A41" s="3">
        <v>46063</v>
      </c>
      <c r="B41" s="1" t="s">
        <v>92</v>
      </c>
      <c r="C41" s="1" t="s">
        <v>13</v>
      </c>
      <c r="D41" s="1" t="s">
        <v>36</v>
      </c>
      <c r="E41" s="1" t="s">
        <v>93</v>
      </c>
      <c r="F41" s="2">
        <v>239</v>
      </c>
      <c r="G41" s="1" t="s">
        <v>11</v>
      </c>
      <c r="H41" s="1" t="str">
        <f t="shared" si="1"/>
        <v>Feb-2026</v>
      </c>
      <c r="I41" s="2">
        <f>SUMIFS($F$2:F41,$C$2:C41,"Income")-SUMIFS($F$2:F41,$C$2:C41,"Expense")</f>
        <v>2264</v>
      </c>
      <c r="J41" s="1" t="str">
        <f>IF(C41="Income","-",IFERROR(VLOOKUP(D41,Budget!$A$2:$F$12,6,FALSE),"-"))</f>
        <v>Within Budget</v>
      </c>
    </row>
    <row r="42" spans="1:10" x14ac:dyDescent="0.3">
      <c r="A42" s="3">
        <v>46064</v>
      </c>
      <c r="B42" s="1" t="s">
        <v>94</v>
      </c>
      <c r="C42" s="1" t="s">
        <v>13</v>
      </c>
      <c r="D42" s="1" t="s">
        <v>17</v>
      </c>
      <c r="E42" s="1" t="s">
        <v>34</v>
      </c>
      <c r="F42" s="2">
        <v>100</v>
      </c>
      <c r="G42" s="1" t="s">
        <v>11</v>
      </c>
      <c r="H42" s="1" t="str">
        <f t="shared" si="1"/>
        <v>Feb-2026</v>
      </c>
      <c r="I42" s="2">
        <f>SUMIFS($F$2:F42,$C$2:C42,"Income")-SUMIFS($F$2:F42,$C$2:C42,"Expense")</f>
        <v>2164</v>
      </c>
      <c r="J42" s="1" t="str">
        <f>IF(C42="Income","-",IFERROR(VLOOKUP(D42,Budget!$A$2:$F$12,6,FALSE),"-"))</f>
        <v>Within Budget</v>
      </c>
    </row>
    <row r="43" spans="1:10" x14ac:dyDescent="0.3">
      <c r="A43" s="3">
        <v>46065</v>
      </c>
      <c r="B43" s="1" t="s">
        <v>95</v>
      </c>
      <c r="C43" s="1" t="s">
        <v>13</v>
      </c>
      <c r="D43" s="1" t="s">
        <v>14</v>
      </c>
      <c r="E43" s="1" t="s">
        <v>47</v>
      </c>
      <c r="F43" s="2">
        <v>135</v>
      </c>
      <c r="G43" s="1" t="s">
        <v>11</v>
      </c>
      <c r="H43" s="1" t="str">
        <f t="shared" si="1"/>
        <v>Feb-2026</v>
      </c>
      <c r="I43" s="2">
        <f>SUMIFS($F$2:F43,$C$2:C43,"Income")-SUMIFS($F$2:F43,$C$2:C43,"Expense")</f>
        <v>2029</v>
      </c>
      <c r="J43" s="1" t="str">
        <f>IF(C43="Income","-",IFERROR(VLOOKUP(D43,Budget!$A$2:$F$12,6,FALSE),"-"))</f>
        <v>Within Budget</v>
      </c>
    </row>
    <row r="44" spans="1:10" x14ac:dyDescent="0.3">
      <c r="A44" s="3">
        <v>46066</v>
      </c>
      <c r="B44" s="1" t="s">
        <v>96</v>
      </c>
      <c r="C44" s="1" t="s">
        <v>13</v>
      </c>
      <c r="D44" s="1" t="s">
        <v>49</v>
      </c>
      <c r="E44" s="1" t="s">
        <v>97</v>
      </c>
      <c r="F44" s="2">
        <v>180</v>
      </c>
      <c r="G44" s="1" t="s">
        <v>11</v>
      </c>
      <c r="H44" s="1" t="str">
        <f t="shared" si="1"/>
        <v>Feb-2026</v>
      </c>
      <c r="I44" s="2">
        <f>SUMIFS($F$2:F44,$C$2:C44,"Income")-SUMIFS($F$2:F44,$C$2:C44,"Expense")</f>
        <v>1849</v>
      </c>
      <c r="J44" s="1" t="str">
        <f>IF(C44="Income","-",IFERROR(VLOOKUP(D44,Budget!$A$2:$F$12,6,FALSE),"-"))</f>
        <v>Within Budget</v>
      </c>
    </row>
    <row r="45" spans="1:10" x14ac:dyDescent="0.3">
      <c r="A45" s="3">
        <v>46067</v>
      </c>
      <c r="B45" s="1" t="s">
        <v>98</v>
      </c>
      <c r="C45" s="1" t="s">
        <v>13</v>
      </c>
      <c r="D45" s="1" t="s">
        <v>26</v>
      </c>
      <c r="E45" s="1" t="s">
        <v>99</v>
      </c>
      <c r="F45" s="2">
        <v>250</v>
      </c>
      <c r="G45" s="1" t="s">
        <v>11</v>
      </c>
      <c r="H45" s="1" t="str">
        <f t="shared" si="1"/>
        <v>Feb-2026</v>
      </c>
      <c r="I45" s="2">
        <f>SUMIFS($F$2:F45,$C$2:C45,"Income")-SUMIFS($F$2:F45,$C$2:C45,"Expense")</f>
        <v>1599</v>
      </c>
      <c r="J45" s="1" t="str">
        <f>IF(C45="Income","-",IFERROR(VLOOKUP(D45,Budget!$A$2:$F$12,6,FALSE),"-"))</f>
        <v>Near Limit</v>
      </c>
    </row>
    <row r="46" spans="1:10" x14ac:dyDescent="0.3">
      <c r="A46" s="3">
        <v>46068</v>
      </c>
      <c r="B46" s="1" t="s">
        <v>100</v>
      </c>
      <c r="C46" s="1" t="s">
        <v>13</v>
      </c>
      <c r="D46" s="1" t="s">
        <v>14</v>
      </c>
      <c r="E46" s="1" t="s">
        <v>101</v>
      </c>
      <c r="F46" s="2">
        <v>280</v>
      </c>
      <c r="G46" s="1" t="s">
        <v>11</v>
      </c>
      <c r="H46" s="1" t="str">
        <f t="shared" si="1"/>
        <v>Feb-2026</v>
      </c>
      <c r="I46" s="2">
        <f>SUMIFS($F$2:F46,$C$2:C46,"Income")-SUMIFS($F$2:F46,$C$2:C46,"Expense")</f>
        <v>1319</v>
      </c>
      <c r="J46" s="1" t="str">
        <f>IF(C46="Income","-",IFERROR(VLOOKUP(D46,Budget!$A$2:$F$12,6,FALSE),"-"))</f>
        <v>Within Budget</v>
      </c>
    </row>
    <row r="47" spans="1:10" x14ac:dyDescent="0.3">
      <c r="A47" s="3">
        <v>46069</v>
      </c>
      <c r="B47" s="1" t="s">
        <v>102</v>
      </c>
      <c r="C47" s="1" t="s">
        <v>13</v>
      </c>
      <c r="D47" s="1" t="s">
        <v>17</v>
      </c>
      <c r="E47" s="1" t="s">
        <v>18</v>
      </c>
      <c r="F47" s="2">
        <v>40</v>
      </c>
      <c r="G47" s="1" t="s">
        <v>19</v>
      </c>
      <c r="H47" s="1" t="str">
        <f t="shared" si="1"/>
        <v>Feb-2026</v>
      </c>
      <c r="I47" s="2">
        <f>SUMIFS($F$2:F47,$C$2:C47,"Income")-SUMIFS($F$2:F47,$C$2:C47,"Expense")</f>
        <v>1279</v>
      </c>
      <c r="J47" s="1" t="str">
        <f>IF(C47="Income","-",IFERROR(VLOOKUP(D47,Budget!$A$2:$F$12,6,FALSE),"-"))</f>
        <v>Within Budget</v>
      </c>
    </row>
    <row r="48" spans="1:10" x14ac:dyDescent="0.3">
      <c r="A48" s="3">
        <v>46070</v>
      </c>
      <c r="B48" s="1" t="s">
        <v>103</v>
      </c>
      <c r="C48" s="1" t="s">
        <v>13</v>
      </c>
      <c r="D48" s="1" t="s">
        <v>58</v>
      </c>
      <c r="E48" s="1" t="s">
        <v>104</v>
      </c>
      <c r="F48" s="2">
        <v>150</v>
      </c>
      <c r="G48" s="1" t="s">
        <v>19</v>
      </c>
      <c r="H48" s="1" t="str">
        <f t="shared" si="1"/>
        <v>Feb-2026</v>
      </c>
      <c r="I48" s="2">
        <f>SUMIFS($F$2:F48,$C$2:C48,"Income")-SUMIFS($F$2:F48,$C$2:C48,"Expense")</f>
        <v>1129</v>
      </c>
      <c r="J48" s="1" t="str">
        <f>IF(C48="Income","-",IFERROR(VLOOKUP(D48,Budget!$A$2:$F$12,6,FALSE),"-"))</f>
        <v>Within Budget</v>
      </c>
    </row>
    <row r="49" spans="1:10" x14ac:dyDescent="0.3">
      <c r="A49" s="3">
        <v>46071</v>
      </c>
      <c r="B49" s="1" t="s">
        <v>105</v>
      </c>
      <c r="C49" s="1" t="s">
        <v>13</v>
      </c>
      <c r="D49" s="1" t="s">
        <v>14</v>
      </c>
      <c r="E49" s="1" t="s">
        <v>54</v>
      </c>
      <c r="F49" s="2">
        <v>85</v>
      </c>
      <c r="G49" s="1" t="s">
        <v>11</v>
      </c>
      <c r="H49" s="1" t="str">
        <f t="shared" si="1"/>
        <v>Feb-2026</v>
      </c>
      <c r="I49" s="2">
        <f>SUMIFS($F$2:F49,$C$2:C49,"Income")-SUMIFS($F$2:F49,$C$2:C49,"Expense")</f>
        <v>1044</v>
      </c>
      <c r="J49" s="1" t="str">
        <f>IF(C49="Income","-",IFERROR(VLOOKUP(D49,Budget!$A$2:$F$12,6,FALSE),"-"))</f>
        <v>Within Budget</v>
      </c>
    </row>
    <row r="50" spans="1:10" x14ac:dyDescent="0.3">
      <c r="A50" s="3">
        <v>46072</v>
      </c>
      <c r="B50" s="1" t="s">
        <v>106</v>
      </c>
      <c r="C50" s="1" t="s">
        <v>13</v>
      </c>
      <c r="D50" s="1" t="s">
        <v>41</v>
      </c>
      <c r="E50" s="1" t="s">
        <v>107</v>
      </c>
      <c r="F50" s="2">
        <v>275</v>
      </c>
      <c r="G50" s="1" t="s">
        <v>11</v>
      </c>
      <c r="H50" s="1" t="str">
        <f t="shared" si="1"/>
        <v>Feb-2026</v>
      </c>
      <c r="I50" s="2">
        <f>SUMIFS($F$2:F50,$C$2:C50,"Income")-SUMIFS($F$2:F50,$C$2:C50,"Expense")</f>
        <v>769</v>
      </c>
      <c r="J50" s="1" t="str">
        <f>IF(C50="Income","-",IFERROR(VLOOKUP(D50,Budget!$A$2:$F$12,6,FALSE),"-"))</f>
        <v>Within Budget</v>
      </c>
    </row>
    <row r="51" spans="1:10" x14ac:dyDescent="0.3">
      <c r="A51" s="3">
        <v>46073</v>
      </c>
      <c r="B51" s="1" t="s">
        <v>108</v>
      </c>
      <c r="C51" s="1" t="s">
        <v>13</v>
      </c>
      <c r="D51" s="1" t="s">
        <v>17</v>
      </c>
      <c r="E51" s="1" t="s">
        <v>56</v>
      </c>
      <c r="F51" s="2">
        <v>110</v>
      </c>
      <c r="G51" s="1" t="s">
        <v>11</v>
      </c>
      <c r="H51" s="1" t="str">
        <f t="shared" si="1"/>
        <v>Feb-2026</v>
      </c>
      <c r="I51" s="2">
        <f>SUMIFS($F$2:F51,$C$2:C51,"Income")-SUMIFS($F$2:F51,$C$2:C51,"Expense")</f>
        <v>659</v>
      </c>
      <c r="J51" s="1" t="str">
        <f>IF(C51="Income","-",IFERROR(VLOOKUP(D51,Budget!$A$2:$F$12,6,FALSE),"-"))</f>
        <v>Within Budget</v>
      </c>
    </row>
    <row r="52" spans="1:10" x14ac:dyDescent="0.3">
      <c r="A52" s="3">
        <v>46082</v>
      </c>
      <c r="B52" s="1" t="s">
        <v>109</v>
      </c>
      <c r="C52" s="1" t="s">
        <v>8</v>
      </c>
      <c r="D52" s="1" t="s">
        <v>9</v>
      </c>
      <c r="E52" s="1" t="s">
        <v>110</v>
      </c>
      <c r="F52" s="2">
        <v>3000</v>
      </c>
      <c r="G52" s="1" t="s">
        <v>11</v>
      </c>
      <c r="H52" s="1" t="str">
        <f t="shared" si="1"/>
        <v>Mar-2026</v>
      </c>
      <c r="I52" s="2">
        <f>SUMIFS($F$2:F52,$C$2:C52,"Income")-SUMIFS($F$2:F52,$C$2:C52,"Expense")</f>
        <v>3659</v>
      </c>
      <c r="J52" s="1" t="str">
        <f>IF(C52="Income","-",IFERROR(VLOOKUP(D52,Budget!$A$2:$F$12,6,FALSE),"-"))</f>
        <v>-</v>
      </c>
    </row>
    <row r="53" spans="1:10" x14ac:dyDescent="0.3">
      <c r="A53" s="3">
        <v>46083</v>
      </c>
      <c r="B53" s="1" t="s">
        <v>111</v>
      </c>
      <c r="C53" s="1" t="s">
        <v>13</v>
      </c>
      <c r="D53" s="1" t="s">
        <v>14</v>
      </c>
      <c r="E53" s="1" t="s">
        <v>112</v>
      </c>
      <c r="F53" s="2">
        <v>65</v>
      </c>
      <c r="G53" s="1" t="s">
        <v>19</v>
      </c>
      <c r="H53" s="1" t="str">
        <f t="shared" si="1"/>
        <v>Mar-2026</v>
      </c>
      <c r="I53" s="2">
        <f>SUMIFS($F$2:F53,$C$2:C53,"Income")-SUMIFS($F$2:F53,$C$2:C53,"Expense")</f>
        <v>3594</v>
      </c>
      <c r="J53" s="1" t="str">
        <f>IF(C53="Income","-",IFERROR(VLOOKUP(D53,Budget!$A$2:$F$12,6,FALSE),"-"))</f>
        <v>Within Budget</v>
      </c>
    </row>
    <row r="54" spans="1:10" x14ac:dyDescent="0.3">
      <c r="A54" s="3">
        <v>46084</v>
      </c>
      <c r="B54" s="1" t="s">
        <v>113</v>
      </c>
      <c r="C54" s="1" t="s">
        <v>13</v>
      </c>
      <c r="D54" s="1" t="s">
        <v>17</v>
      </c>
      <c r="E54" s="1" t="s">
        <v>18</v>
      </c>
      <c r="F54" s="2">
        <v>40</v>
      </c>
      <c r="G54" s="1" t="s">
        <v>19</v>
      </c>
      <c r="H54" s="1" t="str">
        <f t="shared" si="1"/>
        <v>Mar-2026</v>
      </c>
      <c r="I54" s="2">
        <f>SUMIFS($F$2:F54,$C$2:C54,"Income")-SUMIFS($F$2:F54,$C$2:C54,"Expense")</f>
        <v>3554</v>
      </c>
      <c r="J54" s="1" t="str">
        <f>IF(C54="Income","-",IFERROR(VLOOKUP(D54,Budget!$A$2:$F$12,6,FALSE),"-"))</f>
        <v>Within Budget</v>
      </c>
    </row>
    <row r="55" spans="1:10" x14ac:dyDescent="0.3">
      <c r="A55" s="3">
        <v>46085</v>
      </c>
      <c r="B55" s="1" t="s">
        <v>114</v>
      </c>
      <c r="C55" s="1" t="s">
        <v>13</v>
      </c>
      <c r="D55" s="1" t="s">
        <v>23</v>
      </c>
      <c r="E55" s="1" t="s">
        <v>115</v>
      </c>
      <c r="F55" s="2">
        <v>220</v>
      </c>
      <c r="G55" s="1" t="s">
        <v>11</v>
      </c>
      <c r="H55" s="1" t="str">
        <f t="shared" si="1"/>
        <v>Mar-2026</v>
      </c>
      <c r="I55" s="2">
        <f>SUMIFS($F$2:F55,$C$2:C55,"Income")-SUMIFS($F$2:F55,$C$2:C55,"Expense")</f>
        <v>3334</v>
      </c>
      <c r="J55" s="1" t="str">
        <f>IF(C55="Income","-",IFERROR(VLOOKUP(D55,Budget!$A$2:$F$12,6,FALSE),"-"))</f>
        <v>Within Budget</v>
      </c>
    </row>
    <row r="56" spans="1:10" x14ac:dyDescent="0.3">
      <c r="A56" s="3">
        <v>46086</v>
      </c>
      <c r="B56" s="1" t="s">
        <v>116</v>
      </c>
      <c r="C56" s="1" t="s">
        <v>13</v>
      </c>
      <c r="D56" s="1" t="s">
        <v>14</v>
      </c>
      <c r="E56" s="1" t="s">
        <v>47</v>
      </c>
      <c r="F56" s="2">
        <v>140</v>
      </c>
      <c r="G56" s="1" t="s">
        <v>11</v>
      </c>
      <c r="H56" s="1" t="str">
        <f t="shared" si="1"/>
        <v>Mar-2026</v>
      </c>
      <c r="I56" s="2">
        <f>SUMIFS($F$2:F56,$C$2:C56,"Income")-SUMIFS($F$2:F56,$C$2:C56,"Expense")</f>
        <v>3194</v>
      </c>
      <c r="J56" s="1" t="str">
        <f>IF(C56="Income","-",IFERROR(VLOOKUP(D56,Budget!$A$2:$F$12,6,FALSE),"-"))</f>
        <v>Within Budget</v>
      </c>
    </row>
    <row r="57" spans="1:10" x14ac:dyDescent="0.3">
      <c r="A57" s="3">
        <v>46087</v>
      </c>
      <c r="B57" s="1" t="s">
        <v>117</v>
      </c>
      <c r="C57" s="1" t="s">
        <v>13</v>
      </c>
      <c r="D57" s="1" t="s">
        <v>26</v>
      </c>
      <c r="E57" s="1" t="s">
        <v>118</v>
      </c>
      <c r="F57" s="2">
        <v>199</v>
      </c>
      <c r="G57" s="1" t="s">
        <v>11</v>
      </c>
      <c r="H57" s="1" t="str">
        <f t="shared" si="1"/>
        <v>Mar-2026</v>
      </c>
      <c r="I57" s="2">
        <f>SUMIFS($F$2:F57,$C$2:C57,"Income")-SUMIFS($F$2:F57,$C$2:C57,"Expense")</f>
        <v>2995</v>
      </c>
      <c r="J57" s="1" t="str">
        <f>IF(C57="Income","-",IFERROR(VLOOKUP(D57,Budget!$A$2:$F$12,6,FALSE),"-"))</f>
        <v>Near Limit</v>
      </c>
    </row>
    <row r="58" spans="1:10" x14ac:dyDescent="0.3">
      <c r="A58" s="3">
        <v>46088</v>
      </c>
      <c r="B58" s="1" t="s">
        <v>119</v>
      </c>
      <c r="C58" s="1" t="s">
        <v>8</v>
      </c>
      <c r="D58" s="1" t="s">
        <v>120</v>
      </c>
      <c r="E58" s="1" t="s">
        <v>121</v>
      </c>
      <c r="F58" s="2">
        <v>800</v>
      </c>
      <c r="G58" s="1" t="s">
        <v>11</v>
      </c>
      <c r="H58" s="1" t="str">
        <f t="shared" si="1"/>
        <v>Mar-2026</v>
      </c>
      <c r="I58" s="2">
        <f>SUMIFS($F$2:F58,$C$2:C58,"Income")-SUMIFS($F$2:F58,$C$2:C58,"Expense")</f>
        <v>3795</v>
      </c>
      <c r="J58" s="1" t="str">
        <f>IF(C58="Income","-",IFERROR(VLOOKUP(D58,Budget!$A$2:$F$12,6,FALSE),"-"))</f>
        <v>-</v>
      </c>
    </row>
    <row r="59" spans="1:10" x14ac:dyDescent="0.3">
      <c r="A59" s="3">
        <v>46089</v>
      </c>
      <c r="B59" s="1" t="s">
        <v>122</v>
      </c>
      <c r="C59" s="1" t="s">
        <v>13</v>
      </c>
      <c r="D59" s="1" t="s">
        <v>41</v>
      </c>
      <c r="E59" s="1" t="s">
        <v>123</v>
      </c>
      <c r="F59" s="2">
        <v>600</v>
      </c>
      <c r="G59" s="1" t="s">
        <v>11</v>
      </c>
      <c r="H59" s="1" t="str">
        <f t="shared" si="1"/>
        <v>Mar-2026</v>
      </c>
      <c r="I59" s="2">
        <f>SUMIFS($F$2:F59,$C$2:C59,"Income")-SUMIFS($F$2:F59,$C$2:C59,"Expense")</f>
        <v>3195</v>
      </c>
      <c r="J59" s="1" t="str">
        <f>IF(C59="Income","-",IFERROR(VLOOKUP(D59,Budget!$A$2:$F$12,6,FALSE),"-"))</f>
        <v>Within Budget</v>
      </c>
    </row>
    <row r="60" spans="1:10" x14ac:dyDescent="0.3">
      <c r="A60" s="3">
        <v>46090</v>
      </c>
      <c r="B60" s="1" t="s">
        <v>124</v>
      </c>
      <c r="C60" s="1" t="s">
        <v>13</v>
      </c>
      <c r="D60" s="1" t="s">
        <v>14</v>
      </c>
      <c r="E60" s="1" t="s">
        <v>32</v>
      </c>
      <c r="F60" s="2">
        <v>120</v>
      </c>
      <c r="G60" s="1" t="s">
        <v>19</v>
      </c>
      <c r="H60" s="1" t="str">
        <f t="shared" si="1"/>
        <v>Mar-2026</v>
      </c>
      <c r="I60" s="2">
        <f>SUMIFS($F$2:F60,$C$2:C60,"Income")-SUMIFS($F$2:F60,$C$2:C60,"Expense")</f>
        <v>3075</v>
      </c>
      <c r="J60" s="1" t="str">
        <f>IF(C60="Income","-",IFERROR(VLOOKUP(D60,Budget!$A$2:$F$12,6,FALSE),"-"))</f>
        <v>Within Budget</v>
      </c>
    </row>
    <row r="61" spans="1:10" x14ac:dyDescent="0.3">
      <c r="A61" s="3">
        <v>46091</v>
      </c>
      <c r="B61" s="1" t="s">
        <v>125</v>
      </c>
      <c r="C61" s="1" t="s">
        <v>13</v>
      </c>
      <c r="D61" s="1" t="s">
        <v>36</v>
      </c>
      <c r="E61" s="1" t="s">
        <v>37</v>
      </c>
      <c r="F61" s="2">
        <v>239</v>
      </c>
      <c r="G61" s="1" t="s">
        <v>11</v>
      </c>
      <c r="H61" s="1" t="str">
        <f t="shared" si="1"/>
        <v>Mar-2026</v>
      </c>
      <c r="I61" s="2">
        <f>SUMIFS($F$2:F171,$C$2:C171,"Income")-SUMIFS($F$2:F171,$C$2:C171,"Expense")</f>
        <v>1735</v>
      </c>
      <c r="J61" s="1" t="str">
        <f>IF(C61="Income","-",IFERROR(VLOOKUP(D61,Budget!$A$2:$F$12,6,FALSE),"-"))</f>
        <v>Within Budget</v>
      </c>
    </row>
    <row r="62" spans="1:10" x14ac:dyDescent="0.3">
      <c r="A62" s="3">
        <v>46092</v>
      </c>
      <c r="B62" s="1" t="s">
        <v>143</v>
      </c>
      <c r="C62" s="1" t="s">
        <v>13</v>
      </c>
      <c r="D62" s="1" t="s">
        <v>17</v>
      </c>
      <c r="E62" s="1" t="s">
        <v>144</v>
      </c>
      <c r="F62" s="9">
        <v>80</v>
      </c>
      <c r="G62" s="1" t="s">
        <v>11</v>
      </c>
      <c r="H62" s="1" t="str">
        <f>TEXT(A62,"mmm-yyyy")</f>
        <v>Mar-2026</v>
      </c>
      <c r="I62" s="9">
        <f>SUMIFS($F$2:F171,$C$2:C171,"Income")-SUMIFS($F$2:F171,$C$2:C171,"Expense")</f>
        <v>1735</v>
      </c>
      <c r="J62" s="8" t="str">
        <f>IF(C62="Income","-",IFERROR(VLOOKUP(D62,Budget!$A$2:$F$12,6,FALSE),"-"))</f>
        <v>Within Budget</v>
      </c>
    </row>
    <row r="63" spans="1:10" x14ac:dyDescent="0.3">
      <c r="A63" s="3">
        <v>46093</v>
      </c>
      <c r="B63" s="1" t="s">
        <v>145</v>
      </c>
      <c r="C63" s="1" t="s">
        <v>13</v>
      </c>
      <c r="D63" s="1" t="s">
        <v>14</v>
      </c>
      <c r="E63" s="1" t="s">
        <v>146</v>
      </c>
      <c r="F63" s="9">
        <v>130</v>
      </c>
      <c r="G63" s="1" t="s">
        <v>11</v>
      </c>
      <c r="H63" s="1" t="str">
        <f>TEXT(A63,"mmm-yyyy")</f>
        <v>Mar-2026</v>
      </c>
      <c r="I63" s="9">
        <f>SUMIFS($F$2:F171,$C$2:C171,"Income")-SUMIFS($F$2:F171,$C$2:C171,"Expense")</f>
        <v>1735</v>
      </c>
      <c r="J63" s="8" t="str">
        <f>IF(C63="Income","-",IFERROR(VLOOKUP(D63,Budget!$A$2:$F$12,6,FALSE),"-"))</f>
        <v>Within Budget</v>
      </c>
    </row>
    <row r="64" spans="1:10" x14ac:dyDescent="0.3">
      <c r="A64" s="3">
        <v>46094</v>
      </c>
      <c r="B64" s="1" t="s">
        <v>147</v>
      </c>
      <c r="C64" s="1" t="s">
        <v>13</v>
      </c>
      <c r="D64" s="1" t="s">
        <v>23</v>
      </c>
      <c r="E64" s="1" t="s">
        <v>148</v>
      </c>
      <c r="F64" s="9">
        <v>110</v>
      </c>
      <c r="G64" s="1" t="s">
        <v>19</v>
      </c>
      <c r="H64" s="1" t="str">
        <f>TEXT(A64,"mmm-yyyy")</f>
        <v>Mar-2026</v>
      </c>
      <c r="I64" s="9">
        <f>SUMIFS($F$2:F171,$C$2:C171,"Income")-SUMIFS($F$2:F171,$C$2:C171,"Expense")</f>
        <v>1735</v>
      </c>
      <c r="J64" s="8" t="str">
        <f>IF(C64="Income","-",IFERROR(VLOOKUP(D64,Budget!$A$2:$F$12,6,FALSE),"-"))</f>
        <v>Within Budget</v>
      </c>
    </row>
    <row r="65" spans="1:10" x14ac:dyDescent="0.3">
      <c r="A65" s="3">
        <v>46095</v>
      </c>
      <c r="B65" s="1" t="s">
        <v>149</v>
      </c>
      <c r="C65" s="1" t="s">
        <v>13</v>
      </c>
      <c r="D65" s="1" t="s">
        <v>14</v>
      </c>
      <c r="E65" s="1" t="s">
        <v>150</v>
      </c>
      <c r="F65" s="9">
        <v>95</v>
      </c>
      <c r="G65" s="1" t="s">
        <v>19</v>
      </c>
      <c r="H65" s="1" t="str">
        <f>TEXT(A65,"mmm-yyyy")</f>
        <v>Mar-2026</v>
      </c>
      <c r="I65" s="9">
        <f>SUMIFS($F$2:F171,$C$2:C171,"Income")-SUMIFS($F$2:F171,$C$2:C171,"Expense")</f>
        <v>1735</v>
      </c>
      <c r="J65" s="8" t="str">
        <f>IF(C65="Income","-",IFERROR(VLOOKUP(D65,Budget!$A$2:$F$12,6,FALSE),"-"))</f>
        <v>Within Budget</v>
      </c>
    </row>
    <row r="66" spans="1:10" x14ac:dyDescent="0.3">
      <c r="A66" s="3">
        <v>46096</v>
      </c>
      <c r="B66" s="1" t="s">
        <v>151</v>
      </c>
      <c r="C66" s="1" t="s">
        <v>8</v>
      </c>
      <c r="D66" s="1" t="s">
        <v>9</v>
      </c>
      <c r="E66" s="1" t="s">
        <v>152</v>
      </c>
      <c r="F66" s="9">
        <v>500</v>
      </c>
      <c r="G66" s="1" t="s">
        <v>11</v>
      </c>
      <c r="H66" s="1" t="str">
        <f>TEXT(A66,"mmm-yyyy")</f>
        <v>Mar-2026</v>
      </c>
      <c r="I66" s="9">
        <f>SUMIFS($F$2:F171,$C$2:C171,"Income")-SUMIFS($F$2:F171,$C$2:C171,"Expense")</f>
        <v>1735</v>
      </c>
      <c r="J66" s="8" t="str">
        <f>IF(C66="Income","-",IFERROR(VLOOKUP(D66,Budget!$A$2:$F$12,6,FALSE),"-"))</f>
        <v>-</v>
      </c>
    </row>
    <row r="67" spans="1:10" x14ac:dyDescent="0.3">
      <c r="A67" s="3">
        <v>46097</v>
      </c>
      <c r="B67" s="1" t="s">
        <v>153</v>
      </c>
      <c r="C67" s="1" t="s">
        <v>13</v>
      </c>
      <c r="D67" s="1" t="s">
        <v>17</v>
      </c>
      <c r="E67" s="1" t="s">
        <v>18</v>
      </c>
      <c r="F67" s="9">
        <v>40</v>
      </c>
      <c r="G67" s="1" t="s">
        <v>19</v>
      </c>
      <c r="H67" s="1" t="str">
        <f>TEXT(A67,"mmm-yyyy")</f>
        <v>Mar-2026</v>
      </c>
      <c r="I67" s="9">
        <f>SUMIFS($F$2:F171,$C$2:C171,"Income")-SUMIFS($F$2:F171,$C$2:C171,"Expense")</f>
        <v>1735</v>
      </c>
      <c r="J67" s="8" t="str">
        <f>IF(C67="Income","-",IFERROR(VLOOKUP(D67,Budget!$A$2:$F$12,6,FALSE),"-"))</f>
        <v>Within Budget</v>
      </c>
    </row>
    <row r="68" spans="1:10" x14ac:dyDescent="0.3">
      <c r="A68" s="3">
        <v>46098</v>
      </c>
      <c r="B68" s="1" t="s">
        <v>154</v>
      </c>
      <c r="C68" s="1" t="s">
        <v>13</v>
      </c>
      <c r="D68" s="1" t="s">
        <v>14</v>
      </c>
      <c r="E68" s="1" t="s">
        <v>155</v>
      </c>
      <c r="F68" s="9">
        <v>160</v>
      </c>
      <c r="G68" s="1" t="s">
        <v>11</v>
      </c>
      <c r="H68" s="1" t="str">
        <f>TEXT(A68,"mmm-yyyy")</f>
        <v>Mar-2026</v>
      </c>
      <c r="I68" s="9">
        <f>SUMIFS($F$2:F171,$C$2:C171,"Income")-SUMIFS($F$2:F171,$C$2:C171,"Expense")</f>
        <v>1735</v>
      </c>
      <c r="J68" s="8" t="str">
        <f>IF(C68="Income","-",IFERROR(VLOOKUP(D68,Budget!$A$2:$F$12,6,FALSE),"-"))</f>
        <v>Within Budget</v>
      </c>
    </row>
    <row r="69" spans="1:10" x14ac:dyDescent="0.3">
      <c r="A69" s="3">
        <v>46099</v>
      </c>
      <c r="B69" s="1" t="s">
        <v>156</v>
      </c>
      <c r="C69" s="1" t="s">
        <v>13</v>
      </c>
      <c r="D69" s="1" t="s">
        <v>49</v>
      </c>
      <c r="E69" s="1" t="s">
        <v>157</v>
      </c>
      <c r="F69" s="9">
        <v>120</v>
      </c>
      <c r="G69" s="1" t="s">
        <v>19</v>
      </c>
      <c r="H69" s="1" t="str">
        <f>TEXT(A69,"mmm-yyyy")</f>
        <v>Mar-2026</v>
      </c>
      <c r="I69" s="9">
        <f>SUMIFS($F$2:F171,$C$2:C171,"Income")-SUMIFS($F$2:F171,$C$2:C171,"Expense")</f>
        <v>1735</v>
      </c>
      <c r="J69" s="8" t="str">
        <f>IF(C69="Income","-",IFERROR(VLOOKUP(D69,Budget!$A$2:$F$12,6,FALSE),"-"))</f>
        <v>Within Budget</v>
      </c>
    </row>
    <row r="70" spans="1:10" x14ac:dyDescent="0.3">
      <c r="A70" s="3">
        <v>46100</v>
      </c>
      <c r="B70" s="1" t="s">
        <v>158</v>
      </c>
      <c r="C70" s="1" t="s">
        <v>13</v>
      </c>
      <c r="D70" s="1" t="s">
        <v>58</v>
      </c>
      <c r="E70" s="1" t="s">
        <v>159</v>
      </c>
      <c r="F70" s="9">
        <v>190</v>
      </c>
      <c r="G70" s="1" t="s">
        <v>11</v>
      </c>
      <c r="H70" s="1" t="str">
        <f>TEXT(A70,"mmm-yyyy")</f>
        <v>Mar-2026</v>
      </c>
      <c r="I70" s="9">
        <f>SUMIFS($F$2:F171,$C$2:C171,"Income")-SUMIFS($F$2:F171,$C$2:C171,"Expense")</f>
        <v>1735</v>
      </c>
      <c r="J70" s="8" t="str">
        <f>IF(C70="Income","-",IFERROR(VLOOKUP(D70,Budget!$A$2:$F$12,6,FALSE),"-"))</f>
        <v>Within Budget</v>
      </c>
    </row>
    <row r="71" spans="1:10" x14ac:dyDescent="0.3">
      <c r="A71" s="3">
        <v>46101</v>
      </c>
      <c r="B71" s="1" t="s">
        <v>160</v>
      </c>
      <c r="C71" s="1" t="s">
        <v>13</v>
      </c>
      <c r="D71" s="1" t="s">
        <v>14</v>
      </c>
      <c r="E71" s="1" t="s">
        <v>161</v>
      </c>
      <c r="F71" s="9">
        <v>310</v>
      </c>
      <c r="G71" s="1" t="s">
        <v>11</v>
      </c>
      <c r="H71" s="1" t="str">
        <f>TEXT(A71,"mmm-yyyy")</f>
        <v>Mar-2026</v>
      </c>
      <c r="I71" s="9">
        <f>SUMIFS($F$2:F171,$C$2:C171,"Income")-SUMIFS($F$2:F171,$C$2:C171,"Expense")</f>
        <v>1735</v>
      </c>
      <c r="J71" s="8" t="str">
        <f>IF(C71="Income","-",IFERROR(VLOOKUP(D71,Budget!$A$2:$F$12,6,FALSE),"-"))</f>
        <v>Within Budget</v>
      </c>
    </row>
    <row r="72" spans="1:10" x14ac:dyDescent="0.3">
      <c r="A72" s="3">
        <v>46102</v>
      </c>
      <c r="B72" s="1" t="s">
        <v>162</v>
      </c>
      <c r="C72" s="1" t="s">
        <v>13</v>
      </c>
      <c r="D72" s="1" t="s">
        <v>17</v>
      </c>
      <c r="E72" s="1" t="s">
        <v>163</v>
      </c>
      <c r="F72" s="9">
        <v>70</v>
      </c>
      <c r="G72" s="1" t="s">
        <v>11</v>
      </c>
      <c r="H72" s="1" t="str">
        <f>TEXT(A72,"mmm-yyyy")</f>
        <v>Mar-2026</v>
      </c>
      <c r="I72" s="9">
        <f>SUMIFS($F$2:F171,$C$2:C171,"Income")-SUMIFS($F$2:F171,$C$2:C171,"Expense")</f>
        <v>1735</v>
      </c>
      <c r="J72" s="8" t="str">
        <f>IF(C72="Income","-",IFERROR(VLOOKUP(D72,Budget!$A$2:$F$12,6,FALSE),"-"))</f>
        <v>Within Budget</v>
      </c>
    </row>
    <row r="73" spans="1:10" x14ac:dyDescent="0.3">
      <c r="A73" s="3">
        <v>46103</v>
      </c>
      <c r="B73" s="1" t="s">
        <v>164</v>
      </c>
      <c r="C73" s="1" t="s">
        <v>13</v>
      </c>
      <c r="D73" s="1" t="s">
        <v>41</v>
      </c>
      <c r="E73" s="1" t="s">
        <v>165</v>
      </c>
      <c r="F73" s="9">
        <v>250</v>
      </c>
      <c r="G73" s="1" t="s">
        <v>11</v>
      </c>
      <c r="H73" s="1" t="str">
        <f>TEXT(A73,"mmm-yyyy")</f>
        <v>Mar-2026</v>
      </c>
      <c r="I73" s="9">
        <f>SUMIFS($F$2:F171,$C$2:C171,"Income")-SUMIFS($F$2:F171,$C$2:C171,"Expense")</f>
        <v>1735</v>
      </c>
      <c r="J73" s="8" t="str">
        <f>IF(C73="Income","-",IFERROR(VLOOKUP(D73,Budget!$A$2:$F$12,6,FALSE),"-"))</f>
        <v>Within Budget</v>
      </c>
    </row>
    <row r="74" spans="1:10" x14ac:dyDescent="0.3">
      <c r="A74" s="3">
        <v>46104</v>
      </c>
      <c r="B74" s="1" t="s">
        <v>166</v>
      </c>
      <c r="C74" s="1" t="s">
        <v>13</v>
      </c>
      <c r="D74" s="1" t="s">
        <v>14</v>
      </c>
      <c r="E74" s="1" t="s">
        <v>167</v>
      </c>
      <c r="F74" s="9">
        <v>85</v>
      </c>
      <c r="G74" s="1" t="s">
        <v>19</v>
      </c>
      <c r="H74" s="1" t="str">
        <f>TEXT(A74,"mmm-yyyy")</f>
        <v>Mar-2026</v>
      </c>
      <c r="I74" s="9">
        <f>SUMIFS($F$2:F171,$C$2:C171,"Income")-SUMIFS($F$2:F171,$C$2:C171,"Expense")</f>
        <v>1735</v>
      </c>
      <c r="J74" s="8" t="str">
        <f>IF(C74="Income","-",IFERROR(VLOOKUP(D74,Budget!$A$2:$F$12,6,FALSE),"-"))</f>
        <v>Within Budget</v>
      </c>
    </row>
    <row r="75" spans="1:10" x14ac:dyDescent="0.3">
      <c r="A75" s="3">
        <v>46105</v>
      </c>
      <c r="B75" s="1" t="s">
        <v>168</v>
      </c>
      <c r="C75" s="1" t="s">
        <v>13</v>
      </c>
      <c r="D75" s="1" t="s">
        <v>26</v>
      </c>
      <c r="E75" s="1" t="s">
        <v>169</v>
      </c>
      <c r="F75" s="9">
        <v>220</v>
      </c>
      <c r="G75" s="1" t="s">
        <v>11</v>
      </c>
      <c r="H75" s="1" t="str">
        <f>TEXT(A75,"mmm-yyyy")</f>
        <v>Mar-2026</v>
      </c>
      <c r="I75" s="9">
        <f>SUMIFS($F$2:F171,$C$2:C171,"Income")-SUMIFS($F$2:F171,$C$2:C171,"Expense")</f>
        <v>1735</v>
      </c>
      <c r="J75" s="8" t="str">
        <f>IF(C75="Income","-",IFERROR(VLOOKUP(D75,Budget!$A$2:$F$12,6,FALSE),"-"))</f>
        <v>Near Limit</v>
      </c>
    </row>
    <row r="76" spans="1:10" x14ac:dyDescent="0.3">
      <c r="A76" s="3">
        <v>46106</v>
      </c>
      <c r="B76" s="1" t="s">
        <v>170</v>
      </c>
      <c r="C76" s="1" t="s">
        <v>8</v>
      </c>
      <c r="D76" s="1" t="s">
        <v>67</v>
      </c>
      <c r="E76" s="1" t="s">
        <v>171</v>
      </c>
      <c r="F76" s="9">
        <v>42</v>
      </c>
      <c r="G76" s="1" t="s">
        <v>69</v>
      </c>
      <c r="H76" s="1" t="str">
        <f>TEXT(A76,"mmm-yyyy")</f>
        <v>Mar-2026</v>
      </c>
      <c r="I76" s="9">
        <f>SUMIFS($F$2:F171,$C$2:C171,"Income")-SUMIFS($F$2:F171,$C$2:C171,"Expense")</f>
        <v>1735</v>
      </c>
      <c r="J76" s="8" t="str">
        <f>IF(C76="Income","-",IFERROR(VLOOKUP(D76,Budget!$A$2:$F$12,6,FALSE),"-"))</f>
        <v>-</v>
      </c>
    </row>
    <row r="77" spans="1:10" x14ac:dyDescent="0.3">
      <c r="A77" s="3">
        <v>46107</v>
      </c>
      <c r="B77" s="1" t="s">
        <v>172</v>
      </c>
      <c r="C77" s="1" t="s">
        <v>13</v>
      </c>
      <c r="D77" s="1" t="s">
        <v>17</v>
      </c>
      <c r="E77" s="1" t="s">
        <v>18</v>
      </c>
      <c r="F77" s="9">
        <v>40</v>
      </c>
      <c r="G77" s="1" t="s">
        <v>19</v>
      </c>
      <c r="H77" s="1" t="str">
        <f>TEXT(A77,"mmm-yyyy")</f>
        <v>Mar-2026</v>
      </c>
      <c r="I77" s="9">
        <f>SUMIFS($F$2:F171,$C$2:C171,"Income")-SUMIFS($F$2:F171,$C$2:C171,"Expense")</f>
        <v>1735</v>
      </c>
      <c r="J77" s="8" t="str">
        <f>IF(C77="Income","-",IFERROR(VLOOKUP(D77,Budget!$A$2:$F$12,6,FALSE),"-"))</f>
        <v>Within Budget</v>
      </c>
    </row>
    <row r="78" spans="1:10" x14ac:dyDescent="0.3">
      <c r="A78" s="3">
        <v>46108</v>
      </c>
      <c r="B78" s="1" t="s">
        <v>173</v>
      </c>
      <c r="C78" s="1" t="s">
        <v>13</v>
      </c>
      <c r="D78" s="1" t="s">
        <v>131</v>
      </c>
      <c r="E78" s="1" t="s">
        <v>174</v>
      </c>
      <c r="F78" s="9">
        <v>140</v>
      </c>
      <c r="G78" s="1" t="s">
        <v>11</v>
      </c>
      <c r="H78" s="1" t="str">
        <f>TEXT(A78,"mmm-yyyy")</f>
        <v>Mar-2026</v>
      </c>
      <c r="I78" s="9">
        <f>SUMIFS($F$2:F171,$C$2:C171,"Income")-SUMIFS($F$2:F171,$C$2:C171,"Expense")</f>
        <v>1735</v>
      </c>
      <c r="J78" s="8" t="str">
        <f>IF(C78="Income","-",IFERROR(VLOOKUP(D78,Budget!$A$2:$F$12,6,FALSE),"-"))</f>
        <v>Within Budget</v>
      </c>
    </row>
    <row r="79" spans="1:10" x14ac:dyDescent="0.3">
      <c r="A79" s="3">
        <v>46109</v>
      </c>
      <c r="B79" s="1" t="s">
        <v>175</v>
      </c>
      <c r="C79" s="1" t="s">
        <v>13</v>
      </c>
      <c r="D79" s="1" t="s">
        <v>14</v>
      </c>
      <c r="E79" s="1" t="s">
        <v>176</v>
      </c>
      <c r="F79" s="9">
        <v>180</v>
      </c>
      <c r="G79" s="1" t="s">
        <v>11</v>
      </c>
      <c r="H79" s="1" t="str">
        <f>TEXT(A79,"mmm-yyyy")</f>
        <v>Mar-2026</v>
      </c>
      <c r="I79" s="9">
        <f>SUMIFS($F$2:F171,$C$2:C171,"Income")-SUMIFS($F$2:F171,$C$2:C171,"Expense")</f>
        <v>1735</v>
      </c>
      <c r="J79" s="8" t="str">
        <f>IF(C79="Income","-",IFERROR(VLOOKUP(D79,Budget!$A$2:$F$12,6,FALSE),"-"))</f>
        <v>Within Budget</v>
      </c>
    </row>
    <row r="80" spans="1:10" x14ac:dyDescent="0.3">
      <c r="A80" s="3">
        <v>46110</v>
      </c>
      <c r="B80" s="1" t="s">
        <v>177</v>
      </c>
      <c r="C80" s="1" t="s">
        <v>13</v>
      </c>
      <c r="D80" s="1" t="s">
        <v>132</v>
      </c>
      <c r="E80" s="1" t="s">
        <v>178</v>
      </c>
      <c r="F80" s="9">
        <v>250</v>
      </c>
      <c r="G80" s="1" t="s">
        <v>11</v>
      </c>
      <c r="H80" s="1" t="str">
        <f>TEXT(A80,"mmm-yyyy")</f>
        <v>Mar-2026</v>
      </c>
      <c r="I80" s="9">
        <f>SUMIFS($F$2:F171,$C$2:C171,"Income")-SUMIFS($F$2:F171,$C$2:C171,"Expense")</f>
        <v>1735</v>
      </c>
      <c r="J80" s="8" t="str">
        <f>IF(C80="Income","-",IFERROR(VLOOKUP(D80,Budget!$A$2:$F$12,6,FALSE),"-"))</f>
        <v>Within Budget</v>
      </c>
    </row>
    <row r="81" spans="1:10" x14ac:dyDescent="0.3">
      <c r="A81" s="3">
        <v>46111</v>
      </c>
      <c r="B81" s="1" t="s">
        <v>179</v>
      </c>
      <c r="C81" s="1" t="s">
        <v>13</v>
      </c>
      <c r="D81" s="1" t="s">
        <v>133</v>
      </c>
      <c r="E81" s="1" t="s">
        <v>180</v>
      </c>
      <c r="F81" s="9">
        <v>160</v>
      </c>
      <c r="G81" s="1" t="s">
        <v>19</v>
      </c>
      <c r="H81" s="1" t="str">
        <f>TEXT(A81,"mmm-yyyy")</f>
        <v>Mar-2026</v>
      </c>
      <c r="I81" s="9">
        <f>SUMIFS($F$2:F171,$C$2:C171,"Income")-SUMIFS($F$2:F171,$C$2:C171,"Expense")</f>
        <v>1735</v>
      </c>
      <c r="J81" s="8" t="str">
        <f>IF(C81="Income","-",IFERROR(VLOOKUP(D81,Budget!$A$2:$F$12,6,FALSE),"-"))</f>
        <v>Within Budget</v>
      </c>
    </row>
    <row r="82" spans="1:10" x14ac:dyDescent="0.3">
      <c r="A82" s="3">
        <v>46113</v>
      </c>
      <c r="B82" s="1" t="s">
        <v>181</v>
      </c>
      <c r="C82" s="1" t="s">
        <v>8</v>
      </c>
      <c r="D82" s="1" t="s">
        <v>9</v>
      </c>
      <c r="E82" s="1" t="s">
        <v>182</v>
      </c>
      <c r="F82" s="9">
        <v>3200</v>
      </c>
      <c r="G82" s="1" t="s">
        <v>11</v>
      </c>
      <c r="H82" s="1" t="str">
        <f>TEXT(A82,"mmm-yyyy")</f>
        <v>Apr-2026</v>
      </c>
      <c r="I82" s="9">
        <f>SUMIFS($F$2:F171,$C$2:C171,"Income")-SUMIFS($F$2:F171,$C$2:C171,"Expense")</f>
        <v>1735</v>
      </c>
      <c r="J82" s="8" t="str">
        <f>IF(C82="Income","-",IFERROR(VLOOKUP(D82,Budget!$A$2:$F$12,6,FALSE),"-"))</f>
        <v>-</v>
      </c>
    </row>
    <row r="83" spans="1:10" x14ac:dyDescent="0.3">
      <c r="A83" s="3">
        <v>46114</v>
      </c>
      <c r="B83" s="1" t="s">
        <v>183</v>
      </c>
      <c r="C83" s="1" t="s">
        <v>13</v>
      </c>
      <c r="D83" s="1" t="s">
        <v>14</v>
      </c>
      <c r="E83" s="1" t="s">
        <v>184</v>
      </c>
      <c r="F83" s="9">
        <v>75</v>
      </c>
      <c r="G83" s="1" t="s">
        <v>11</v>
      </c>
      <c r="H83" s="1" t="str">
        <f>TEXT(A83,"mmm-yyyy")</f>
        <v>Apr-2026</v>
      </c>
      <c r="I83" s="9">
        <f>SUMIFS($F$2:F171,$C$2:C171,"Income")-SUMIFS($F$2:F171,$C$2:C171,"Expense")</f>
        <v>1735</v>
      </c>
      <c r="J83" s="8" t="str">
        <f>IF(C83="Income","-",IFERROR(VLOOKUP(D83,Budget!$A$2:$F$12,6,FALSE),"-"))</f>
        <v>Within Budget</v>
      </c>
    </row>
    <row r="84" spans="1:10" x14ac:dyDescent="0.3">
      <c r="A84" s="3">
        <v>46115</v>
      </c>
      <c r="B84" s="1" t="s">
        <v>185</v>
      </c>
      <c r="C84" s="1" t="s">
        <v>13</v>
      </c>
      <c r="D84" s="1" t="s">
        <v>17</v>
      </c>
      <c r="E84" s="1" t="s">
        <v>186</v>
      </c>
      <c r="F84" s="9">
        <v>450</v>
      </c>
      <c r="G84" s="1" t="s">
        <v>11</v>
      </c>
      <c r="H84" s="1" t="str">
        <f>TEXT(A84,"mmm-yyyy")</f>
        <v>Apr-2026</v>
      </c>
      <c r="I84" s="9">
        <f>SUMIFS($F$2:F171,$C$2:C171,"Income")-SUMIFS($F$2:F171,$C$2:C171,"Expense")</f>
        <v>1735</v>
      </c>
      <c r="J84" s="8" t="str">
        <f>IF(C84="Income","-",IFERROR(VLOOKUP(D84,Budget!$A$2:$F$12,6,FALSE),"-"))</f>
        <v>Within Budget</v>
      </c>
    </row>
    <row r="85" spans="1:10" x14ac:dyDescent="0.3">
      <c r="A85" s="3">
        <v>46116</v>
      </c>
      <c r="B85" s="1" t="s">
        <v>187</v>
      </c>
      <c r="C85" s="1" t="s">
        <v>13</v>
      </c>
      <c r="D85" s="1" t="s">
        <v>14</v>
      </c>
      <c r="E85" s="1" t="s">
        <v>188</v>
      </c>
      <c r="F85" s="9">
        <v>120</v>
      </c>
      <c r="G85" s="1" t="s">
        <v>11</v>
      </c>
      <c r="H85" s="1" t="str">
        <f>TEXT(A85,"mmm-yyyy")</f>
        <v>Apr-2026</v>
      </c>
      <c r="I85" s="9">
        <f>SUMIFS($F$2:F171,$C$2:C171,"Income")-SUMIFS($F$2:F171,$C$2:C171,"Expense")</f>
        <v>1735</v>
      </c>
      <c r="J85" s="8" t="str">
        <f>IF(C85="Income","-",IFERROR(VLOOKUP(D85,Budget!$A$2:$F$12,6,FALSE),"-"))</f>
        <v>Within Budget</v>
      </c>
    </row>
    <row r="86" spans="1:10" x14ac:dyDescent="0.3">
      <c r="A86" s="3">
        <v>46117</v>
      </c>
      <c r="B86" s="1" t="s">
        <v>189</v>
      </c>
      <c r="C86" s="1" t="s">
        <v>13</v>
      </c>
      <c r="D86" s="1" t="s">
        <v>23</v>
      </c>
      <c r="E86" s="1" t="s">
        <v>190</v>
      </c>
      <c r="F86" s="9">
        <v>150</v>
      </c>
      <c r="G86" s="1" t="s">
        <v>19</v>
      </c>
      <c r="H86" s="1" t="str">
        <f>TEXT(A86,"mmm-yyyy")</f>
        <v>Apr-2026</v>
      </c>
      <c r="I86" s="9">
        <f>SUMIFS($F$2:F171,$C$2:C171,"Income")-SUMIFS($F$2:F171,$C$2:C171,"Expense")</f>
        <v>1735</v>
      </c>
      <c r="J86" s="8" t="str">
        <f>IF(C86="Income","-",IFERROR(VLOOKUP(D86,Budget!$A$2:$F$12,6,FALSE),"-"))</f>
        <v>Within Budget</v>
      </c>
    </row>
    <row r="87" spans="1:10" x14ac:dyDescent="0.3">
      <c r="A87" s="3">
        <v>46118</v>
      </c>
      <c r="B87" s="1" t="s">
        <v>191</v>
      </c>
      <c r="C87" s="1" t="s">
        <v>13</v>
      </c>
      <c r="D87" s="1" t="s">
        <v>26</v>
      </c>
      <c r="E87" s="1" t="s">
        <v>192</v>
      </c>
      <c r="F87" s="9">
        <v>199</v>
      </c>
      <c r="G87" s="1" t="s">
        <v>11</v>
      </c>
      <c r="H87" s="1" t="str">
        <f>TEXT(A87,"mmm-yyyy")</f>
        <v>Apr-2026</v>
      </c>
      <c r="I87" s="9">
        <f>SUMIFS($F$2:F171,$C$2:C171,"Income")-SUMIFS($F$2:F171,$C$2:C171,"Expense")</f>
        <v>1735</v>
      </c>
      <c r="J87" s="8" t="str">
        <f>IF(C87="Income","-",IFERROR(VLOOKUP(D87,Budget!$A$2:$F$12,6,FALSE),"-"))</f>
        <v>Near Limit</v>
      </c>
    </row>
    <row r="88" spans="1:10" x14ac:dyDescent="0.3">
      <c r="A88" s="3">
        <v>46119</v>
      </c>
      <c r="B88" s="1" t="s">
        <v>193</v>
      </c>
      <c r="C88" s="1" t="s">
        <v>8</v>
      </c>
      <c r="D88" s="1" t="s">
        <v>120</v>
      </c>
      <c r="E88" s="1" t="s">
        <v>194</v>
      </c>
      <c r="F88" s="9">
        <v>1000</v>
      </c>
      <c r="G88" s="1" t="s">
        <v>11</v>
      </c>
      <c r="H88" s="1" t="str">
        <f>TEXT(A88,"mmm-yyyy")</f>
        <v>Apr-2026</v>
      </c>
      <c r="I88" s="9">
        <f>SUMIFS($F$2:F171,$C$2:C171,"Income")-SUMIFS($F$2:F171,$C$2:C171,"Expense")</f>
        <v>1735</v>
      </c>
      <c r="J88" s="8" t="str">
        <f>IF(C88="Income","-",IFERROR(VLOOKUP(D88,Budget!$A$2:$F$12,6,FALSE),"-"))</f>
        <v>-</v>
      </c>
    </row>
    <row r="89" spans="1:10" x14ac:dyDescent="0.3">
      <c r="A89" s="3">
        <v>46120</v>
      </c>
      <c r="B89" s="1" t="s">
        <v>195</v>
      </c>
      <c r="C89" s="1" t="s">
        <v>13</v>
      </c>
      <c r="D89" s="1" t="s">
        <v>14</v>
      </c>
      <c r="E89" s="1" t="s">
        <v>196</v>
      </c>
      <c r="F89" s="9">
        <v>140</v>
      </c>
      <c r="G89" s="1" t="s">
        <v>19</v>
      </c>
      <c r="H89" s="1" t="str">
        <f>TEXT(A89,"mmm-yyyy")</f>
        <v>Apr-2026</v>
      </c>
      <c r="I89" s="9">
        <f>SUMIFS($F$2:F171,$C$2:C171,"Income")-SUMIFS($F$2:F171,$C$2:C171,"Expense")</f>
        <v>1735</v>
      </c>
      <c r="J89" s="8" t="str">
        <f>IF(C89="Income","-",IFERROR(VLOOKUP(D89,Budget!$A$2:$F$12,6,FALSE),"-"))</f>
        <v>Within Budget</v>
      </c>
    </row>
    <row r="90" spans="1:10" x14ac:dyDescent="0.3">
      <c r="A90" s="3">
        <v>46121</v>
      </c>
      <c r="B90" s="1" t="s">
        <v>197</v>
      </c>
      <c r="C90" s="1" t="s">
        <v>13</v>
      </c>
      <c r="D90" s="1" t="s">
        <v>17</v>
      </c>
      <c r="E90" s="1" t="s">
        <v>198</v>
      </c>
      <c r="F90" s="9">
        <v>90</v>
      </c>
      <c r="G90" s="1" t="s">
        <v>19</v>
      </c>
      <c r="H90" s="1" t="str">
        <f>TEXT(A90,"mmm-yyyy")</f>
        <v>Apr-2026</v>
      </c>
      <c r="I90" s="9">
        <f>SUMIFS($F$2:F171,$C$2:C171,"Income")-SUMIFS($F$2:F171,$C$2:C171,"Expense")</f>
        <v>1735</v>
      </c>
      <c r="J90" s="8" t="str">
        <f>IF(C90="Income","-",IFERROR(VLOOKUP(D90,Budget!$A$2:$F$12,6,FALSE),"-"))</f>
        <v>Within Budget</v>
      </c>
    </row>
    <row r="91" spans="1:10" x14ac:dyDescent="0.3">
      <c r="A91" s="3">
        <v>46122</v>
      </c>
      <c r="B91" s="1" t="s">
        <v>199</v>
      </c>
      <c r="C91" s="1" t="s">
        <v>13</v>
      </c>
      <c r="D91" s="1" t="s">
        <v>36</v>
      </c>
      <c r="E91" s="1" t="s">
        <v>200</v>
      </c>
      <c r="F91" s="9">
        <v>239</v>
      </c>
      <c r="G91" s="1" t="s">
        <v>11</v>
      </c>
      <c r="H91" s="1" t="str">
        <f>TEXT(A91,"mmm-yyyy")</f>
        <v>Apr-2026</v>
      </c>
      <c r="I91" s="9">
        <f>SUMIFS($F$2:F171,$C$2:C171,"Income")-SUMIFS($F$2:F171,$C$2:C171,"Expense")</f>
        <v>1735</v>
      </c>
      <c r="J91" s="8" t="str">
        <f>IF(C91="Income","-",IFERROR(VLOOKUP(D91,Budget!$A$2:$F$12,6,FALSE),"-"))</f>
        <v>Within Budget</v>
      </c>
    </row>
    <row r="92" spans="1:10" x14ac:dyDescent="0.3">
      <c r="A92" s="3">
        <v>46123</v>
      </c>
      <c r="B92" s="1" t="s">
        <v>201</v>
      </c>
      <c r="C92" s="1" t="s">
        <v>13</v>
      </c>
      <c r="D92" s="1" t="s">
        <v>41</v>
      </c>
      <c r="E92" s="1" t="s">
        <v>202</v>
      </c>
      <c r="F92" s="9">
        <v>499</v>
      </c>
      <c r="G92" s="1" t="s">
        <v>11</v>
      </c>
      <c r="H92" s="1" t="str">
        <f>TEXT(A92,"mmm-yyyy")</f>
        <v>Apr-2026</v>
      </c>
      <c r="I92" s="9">
        <f>SUMIFS($F$2:F171,$C$2:C171,"Income")-SUMIFS($F$2:F171,$C$2:C171,"Expense")</f>
        <v>1735</v>
      </c>
      <c r="J92" s="8" t="str">
        <f>IF(C92="Income","-",IFERROR(VLOOKUP(D92,Budget!$A$2:$F$12,6,FALSE),"-"))</f>
        <v>Within Budget</v>
      </c>
    </row>
    <row r="93" spans="1:10" x14ac:dyDescent="0.3">
      <c r="A93" s="3">
        <v>46124</v>
      </c>
      <c r="B93" s="1" t="s">
        <v>203</v>
      </c>
      <c r="C93" s="1" t="s">
        <v>13</v>
      </c>
      <c r="D93" s="1" t="s">
        <v>14</v>
      </c>
      <c r="E93" s="1" t="s">
        <v>204</v>
      </c>
      <c r="F93" s="9">
        <v>80</v>
      </c>
      <c r="G93" s="1" t="s">
        <v>11</v>
      </c>
      <c r="H93" s="1" t="str">
        <f>TEXT(A93,"mmm-yyyy")</f>
        <v>Apr-2026</v>
      </c>
      <c r="I93" s="9">
        <f>SUMIFS($F$2:F171,$C$2:C171,"Income")-SUMIFS($F$2:F171,$C$2:C171,"Expense")</f>
        <v>1735</v>
      </c>
      <c r="J93" s="8" t="str">
        <f>IF(C93="Income","-",IFERROR(VLOOKUP(D93,Budget!$A$2:$F$12,6,FALSE),"-"))</f>
        <v>Within Budget</v>
      </c>
    </row>
    <row r="94" spans="1:10" x14ac:dyDescent="0.3">
      <c r="A94" s="3">
        <v>46125</v>
      </c>
      <c r="B94" s="1" t="s">
        <v>205</v>
      </c>
      <c r="C94" s="1" t="s">
        <v>13</v>
      </c>
      <c r="D94" s="1" t="s">
        <v>49</v>
      </c>
      <c r="E94" s="1" t="s">
        <v>206</v>
      </c>
      <c r="F94" s="9">
        <v>180</v>
      </c>
      <c r="G94" s="1" t="s">
        <v>11</v>
      </c>
      <c r="H94" s="1" t="str">
        <f>TEXT(A94,"mmm-yyyy")</f>
        <v>Apr-2026</v>
      </c>
      <c r="I94" s="9">
        <f>SUMIFS($F$2:F171,$C$2:C171,"Income")-SUMIFS($F$2:F171,$C$2:C171,"Expense")</f>
        <v>1735</v>
      </c>
      <c r="J94" s="8" t="str">
        <f>IF(C94="Income","-",IFERROR(VLOOKUP(D94,Budget!$A$2:$F$12,6,FALSE),"-"))</f>
        <v>Within Budget</v>
      </c>
    </row>
    <row r="95" spans="1:10" x14ac:dyDescent="0.3">
      <c r="A95" s="3">
        <v>46126</v>
      </c>
      <c r="B95" s="1" t="s">
        <v>207</v>
      </c>
      <c r="C95" s="1" t="s">
        <v>13</v>
      </c>
      <c r="D95" s="1" t="s">
        <v>17</v>
      </c>
      <c r="E95" s="1" t="s">
        <v>208</v>
      </c>
      <c r="F95" s="9">
        <v>60</v>
      </c>
      <c r="G95" s="1" t="s">
        <v>19</v>
      </c>
      <c r="H95" s="1" t="str">
        <f>TEXT(A95,"mmm-yyyy")</f>
        <v>Apr-2026</v>
      </c>
      <c r="I95" s="9">
        <f>SUMIFS($F$2:F171,$C$2:C171,"Income")-SUMIFS($F$2:F171,$C$2:C171,"Expense")</f>
        <v>1735</v>
      </c>
      <c r="J95" s="8" t="str">
        <f>IF(C95="Income","-",IFERROR(VLOOKUP(D95,Budget!$A$2:$F$12,6,FALSE),"-"))</f>
        <v>Within Budget</v>
      </c>
    </row>
    <row r="96" spans="1:10" x14ac:dyDescent="0.3">
      <c r="A96" s="3">
        <v>46127</v>
      </c>
      <c r="B96" s="1" t="s">
        <v>209</v>
      </c>
      <c r="C96" s="1" t="s">
        <v>8</v>
      </c>
      <c r="D96" s="1" t="s">
        <v>29</v>
      </c>
      <c r="E96" s="1" t="s">
        <v>210</v>
      </c>
      <c r="F96" s="9">
        <v>800</v>
      </c>
      <c r="G96" s="1" t="s">
        <v>19</v>
      </c>
      <c r="H96" s="1" t="str">
        <f>TEXT(A96,"mmm-yyyy")</f>
        <v>Apr-2026</v>
      </c>
      <c r="I96" s="9">
        <f>SUMIFS($F$2:F171,$C$2:C171,"Income")-SUMIFS($F$2:F171,$C$2:C171,"Expense")</f>
        <v>1735</v>
      </c>
      <c r="J96" s="8" t="str">
        <f>IF(C96="Income","-",IFERROR(VLOOKUP(D96,Budget!$A$2:$F$12,6,FALSE),"-"))</f>
        <v>-</v>
      </c>
    </row>
    <row r="97" spans="1:10" x14ac:dyDescent="0.3">
      <c r="A97" s="3">
        <v>46128</v>
      </c>
      <c r="B97" s="1" t="s">
        <v>211</v>
      </c>
      <c r="C97" s="1" t="s">
        <v>13</v>
      </c>
      <c r="D97" s="1" t="s">
        <v>14</v>
      </c>
      <c r="E97" s="1" t="s">
        <v>212</v>
      </c>
      <c r="F97" s="9">
        <v>130</v>
      </c>
      <c r="G97" s="1" t="s">
        <v>11</v>
      </c>
      <c r="H97" s="1" t="str">
        <f>TEXT(A97,"mmm-yyyy")</f>
        <v>Apr-2026</v>
      </c>
      <c r="I97" s="9">
        <f>SUMIFS($F$2:F171,$C$2:C171,"Income")-SUMIFS($F$2:F171,$C$2:C171,"Expense")</f>
        <v>1735</v>
      </c>
      <c r="J97" s="8" t="str">
        <f>IF(C97="Income","-",IFERROR(VLOOKUP(D97,Budget!$A$2:$F$12,6,FALSE),"-"))</f>
        <v>Within Budget</v>
      </c>
    </row>
    <row r="98" spans="1:10" x14ac:dyDescent="0.3">
      <c r="A98" s="3">
        <v>46129</v>
      </c>
      <c r="B98" s="1" t="s">
        <v>213</v>
      </c>
      <c r="C98" s="1" t="s">
        <v>13</v>
      </c>
      <c r="D98" s="1" t="s">
        <v>58</v>
      </c>
      <c r="E98" s="1" t="s">
        <v>214</v>
      </c>
      <c r="F98" s="9">
        <v>180</v>
      </c>
      <c r="G98" s="1" t="s">
        <v>19</v>
      </c>
      <c r="H98" s="1" t="str">
        <f>TEXT(A98,"mmm-yyyy")</f>
        <v>Apr-2026</v>
      </c>
      <c r="I98" s="9">
        <f>SUMIFS($F$2:F171,$C$2:C171,"Income")-SUMIFS($F$2:F171,$C$2:C171,"Expense")</f>
        <v>1735</v>
      </c>
      <c r="J98" s="8" t="str">
        <f>IF(C98="Income","-",IFERROR(VLOOKUP(D98,Budget!$A$2:$F$12,6,FALSE),"-"))</f>
        <v>Within Budget</v>
      </c>
    </row>
    <row r="99" spans="1:10" x14ac:dyDescent="0.3">
      <c r="A99" s="3">
        <v>46130</v>
      </c>
      <c r="B99" s="1" t="s">
        <v>215</v>
      </c>
      <c r="C99" s="1" t="s">
        <v>13</v>
      </c>
      <c r="D99" s="1" t="s">
        <v>26</v>
      </c>
      <c r="E99" s="1" t="s">
        <v>216</v>
      </c>
      <c r="F99" s="9">
        <v>320</v>
      </c>
      <c r="G99" s="1" t="s">
        <v>11</v>
      </c>
      <c r="H99" s="1" t="str">
        <f>TEXT(A99,"mmm-yyyy")</f>
        <v>Apr-2026</v>
      </c>
      <c r="I99" s="9">
        <f>SUMIFS($F$2:F171,$C$2:C171,"Income")-SUMIFS($F$2:F171,$C$2:C171,"Expense")</f>
        <v>1735</v>
      </c>
      <c r="J99" s="8" t="str">
        <f>IF(C99="Income","-",IFERROR(VLOOKUP(D99,Budget!$A$2:$F$12,6,FALSE),"-"))</f>
        <v>Near Limit</v>
      </c>
    </row>
    <row r="100" spans="1:10" x14ac:dyDescent="0.3">
      <c r="A100" s="3">
        <v>46131</v>
      </c>
      <c r="B100" s="1" t="s">
        <v>217</v>
      </c>
      <c r="C100" s="1" t="s">
        <v>13</v>
      </c>
      <c r="D100" s="1" t="s">
        <v>14</v>
      </c>
      <c r="E100" s="1" t="s">
        <v>218</v>
      </c>
      <c r="F100" s="9">
        <v>110</v>
      </c>
      <c r="G100" s="1" t="s">
        <v>11</v>
      </c>
      <c r="H100" s="1" t="str">
        <f>TEXT(A100,"mmm-yyyy")</f>
        <v>Apr-2026</v>
      </c>
      <c r="I100" s="9">
        <f>SUMIFS($F$2:F171,$C$2:C171,"Income")-SUMIFS($F$2:F171,$C$2:C171,"Expense")</f>
        <v>1735</v>
      </c>
      <c r="J100" s="8" t="str">
        <f>IF(C100="Income","-",IFERROR(VLOOKUP(D100,Budget!$A$2:$F$12,6,FALSE),"-"))</f>
        <v>Within Budget</v>
      </c>
    </row>
    <row r="101" spans="1:10" x14ac:dyDescent="0.3">
      <c r="A101" s="3">
        <v>46132</v>
      </c>
      <c r="B101" s="1" t="s">
        <v>219</v>
      </c>
      <c r="C101" s="1" t="s">
        <v>13</v>
      </c>
      <c r="D101" s="1" t="s">
        <v>131</v>
      </c>
      <c r="E101" s="1" t="s">
        <v>220</v>
      </c>
      <c r="F101" s="9">
        <v>210</v>
      </c>
      <c r="G101" s="1" t="s">
        <v>11</v>
      </c>
      <c r="H101" s="1" t="str">
        <f>TEXT(A101,"mmm-yyyy")</f>
        <v>Apr-2026</v>
      </c>
      <c r="I101" s="9">
        <f>SUMIFS($F$2:F171,$C$2:C171,"Income")-SUMIFS($F$2:F171,$C$2:C171,"Expense")</f>
        <v>1735</v>
      </c>
      <c r="J101" s="8" t="str">
        <f>IF(C101="Income","-",IFERROR(VLOOKUP(D101,Budget!$A$2:$F$12,6,FALSE),"-"))</f>
        <v>Within Budget</v>
      </c>
    </row>
    <row r="102" spans="1:10" x14ac:dyDescent="0.3">
      <c r="A102" s="3">
        <v>46133</v>
      </c>
      <c r="B102" s="1" t="s">
        <v>221</v>
      </c>
      <c r="C102" s="1" t="s">
        <v>13</v>
      </c>
      <c r="D102" s="1" t="s">
        <v>14</v>
      </c>
      <c r="E102" s="1" t="s">
        <v>222</v>
      </c>
      <c r="F102" s="9">
        <v>90</v>
      </c>
      <c r="G102" s="1" t="s">
        <v>19</v>
      </c>
      <c r="H102" s="1" t="str">
        <f>TEXT(A102,"mmm-yyyy")</f>
        <v>Apr-2026</v>
      </c>
      <c r="I102" s="9">
        <f>SUMIFS($F$2:F171,$C$2:C171,"Income")-SUMIFS($F$2:F171,$C$2:C171,"Expense")</f>
        <v>1735</v>
      </c>
      <c r="J102" s="8" t="str">
        <f>IF(C102="Income","-",IFERROR(VLOOKUP(D102,Budget!$A$2:$F$12,6,FALSE),"-"))</f>
        <v>Within Budget</v>
      </c>
    </row>
    <row r="103" spans="1:10" x14ac:dyDescent="0.3">
      <c r="A103" s="3">
        <v>46134</v>
      </c>
      <c r="B103" s="1" t="s">
        <v>223</v>
      </c>
      <c r="C103" s="1" t="s">
        <v>13</v>
      </c>
      <c r="D103" s="1" t="s">
        <v>41</v>
      </c>
      <c r="E103" s="1" t="s">
        <v>224</v>
      </c>
      <c r="F103" s="9">
        <v>299</v>
      </c>
      <c r="G103" s="1" t="s">
        <v>11</v>
      </c>
      <c r="H103" s="1" t="str">
        <f>TEXT(A103,"mmm-yyyy")</f>
        <v>Apr-2026</v>
      </c>
      <c r="I103" s="9">
        <f>SUMIFS($F$2:F171,$C$2:C171,"Income")-SUMIFS($F$2:F171,$C$2:C171,"Expense")</f>
        <v>1735</v>
      </c>
      <c r="J103" s="8" t="str">
        <f>IF(C103="Income","-",IFERROR(VLOOKUP(D103,Budget!$A$2:$F$12,6,FALSE),"-"))</f>
        <v>Within Budget</v>
      </c>
    </row>
    <row r="104" spans="1:10" x14ac:dyDescent="0.3">
      <c r="A104" s="3">
        <v>46135</v>
      </c>
      <c r="B104" s="1" t="s">
        <v>225</v>
      </c>
      <c r="C104" s="1" t="s">
        <v>13</v>
      </c>
      <c r="D104" s="1" t="s">
        <v>17</v>
      </c>
      <c r="E104" s="1" t="s">
        <v>226</v>
      </c>
      <c r="F104" s="9">
        <v>70</v>
      </c>
      <c r="G104" s="1" t="s">
        <v>19</v>
      </c>
      <c r="H104" s="1" t="str">
        <f>TEXT(A104,"mmm-yyyy")</f>
        <v>Apr-2026</v>
      </c>
      <c r="I104" s="9">
        <f>SUMIFS($F$2:F171,$C$2:C171,"Income")-SUMIFS($F$2:F171,$C$2:C171,"Expense")</f>
        <v>1735</v>
      </c>
      <c r="J104" s="8" t="str">
        <f>IF(C104="Income","-",IFERROR(VLOOKUP(D104,Budget!$A$2:$F$12,6,FALSE),"-"))</f>
        <v>Within Budget</v>
      </c>
    </row>
    <row r="105" spans="1:10" x14ac:dyDescent="0.3">
      <c r="A105" s="3">
        <v>46136</v>
      </c>
      <c r="B105" s="1" t="s">
        <v>227</v>
      </c>
      <c r="C105" s="1" t="s">
        <v>13</v>
      </c>
      <c r="D105" s="1" t="s">
        <v>14</v>
      </c>
      <c r="E105" s="1" t="s">
        <v>228</v>
      </c>
      <c r="F105" s="9">
        <v>220</v>
      </c>
      <c r="G105" s="1" t="s">
        <v>11</v>
      </c>
      <c r="H105" s="1" t="str">
        <f>TEXT(A105,"mmm-yyyy")</f>
        <v>Apr-2026</v>
      </c>
      <c r="I105" s="9">
        <f>SUMIFS($F$2:F171,$C$2:C171,"Income")-SUMIFS($F$2:F171,$C$2:C171,"Expense")</f>
        <v>1735</v>
      </c>
      <c r="J105" s="8" t="str">
        <f>IF(C105="Income","-",IFERROR(VLOOKUP(D105,Budget!$A$2:$F$12,6,FALSE),"-"))</f>
        <v>Within Budget</v>
      </c>
    </row>
    <row r="106" spans="1:10" x14ac:dyDescent="0.3">
      <c r="A106" s="3">
        <v>46137</v>
      </c>
      <c r="B106" s="1" t="s">
        <v>229</v>
      </c>
      <c r="C106" s="1" t="s">
        <v>13</v>
      </c>
      <c r="D106" s="1" t="s">
        <v>23</v>
      </c>
      <c r="E106" s="1" t="s">
        <v>230</v>
      </c>
      <c r="F106" s="9">
        <v>140</v>
      </c>
      <c r="G106" s="1" t="s">
        <v>11</v>
      </c>
      <c r="H106" s="1" t="str">
        <f>TEXT(A106,"mmm-yyyy")</f>
        <v>Apr-2026</v>
      </c>
      <c r="I106" s="9">
        <f>SUMIFS($F$2:F171,$C$2:C171,"Income")-SUMIFS($F$2:F171,$C$2:C171,"Expense")</f>
        <v>1735</v>
      </c>
      <c r="J106" s="8" t="str">
        <f>IF(C106="Income","-",IFERROR(VLOOKUP(D106,Budget!$A$2:$F$12,6,FALSE),"-"))</f>
        <v>Within Budget</v>
      </c>
    </row>
    <row r="107" spans="1:10" x14ac:dyDescent="0.3">
      <c r="A107" s="3">
        <v>46138</v>
      </c>
      <c r="B107" s="1" t="s">
        <v>231</v>
      </c>
      <c r="C107" s="1" t="s">
        <v>13</v>
      </c>
      <c r="D107" s="1" t="s">
        <v>14</v>
      </c>
      <c r="E107" s="1" t="s">
        <v>232</v>
      </c>
      <c r="F107" s="9">
        <v>50</v>
      </c>
      <c r="G107" s="1" t="s">
        <v>19</v>
      </c>
      <c r="H107" s="1" t="str">
        <f>TEXT(A107,"mmm-yyyy")</f>
        <v>Apr-2026</v>
      </c>
      <c r="I107" s="9">
        <f>SUMIFS($F$2:F171,$C$2:C171,"Income")-SUMIFS($F$2:F171,$C$2:C171,"Expense")</f>
        <v>1735</v>
      </c>
      <c r="J107" s="8" t="str">
        <f>IF(C107="Income","-",IFERROR(VLOOKUP(D107,Budget!$A$2:$F$12,6,FALSE),"-"))</f>
        <v>Within Budget</v>
      </c>
    </row>
    <row r="108" spans="1:10" x14ac:dyDescent="0.3">
      <c r="A108" s="3">
        <v>46139</v>
      </c>
      <c r="B108" s="1" t="s">
        <v>233</v>
      </c>
      <c r="C108" s="1" t="s">
        <v>13</v>
      </c>
      <c r="D108" s="1" t="s">
        <v>26</v>
      </c>
      <c r="E108" s="1" t="s">
        <v>234</v>
      </c>
      <c r="F108" s="9">
        <v>119</v>
      </c>
      <c r="G108" s="1" t="s">
        <v>11</v>
      </c>
      <c r="H108" s="1" t="str">
        <f>TEXT(A108,"mmm-yyyy")</f>
        <v>Apr-2026</v>
      </c>
      <c r="I108" s="9">
        <f>SUMIFS($F$2:F171,$C$2:C171,"Income")-SUMIFS($F$2:F171,$C$2:C171,"Expense")</f>
        <v>1735</v>
      </c>
      <c r="J108" s="8" t="str">
        <f>IF(C108="Income","-",IFERROR(VLOOKUP(D108,Budget!$A$2:$F$12,6,FALSE),"-"))</f>
        <v>Near Limit</v>
      </c>
    </row>
    <row r="109" spans="1:10" x14ac:dyDescent="0.3">
      <c r="A109" s="3">
        <v>46140</v>
      </c>
      <c r="B109" s="1" t="s">
        <v>235</v>
      </c>
      <c r="C109" s="1" t="s">
        <v>13</v>
      </c>
      <c r="D109" s="1" t="s">
        <v>132</v>
      </c>
      <c r="E109" s="1" t="s">
        <v>236</v>
      </c>
      <c r="F109" s="9">
        <v>150</v>
      </c>
      <c r="G109" s="1" t="s">
        <v>19</v>
      </c>
      <c r="H109" s="1" t="str">
        <f>TEXT(A109,"mmm-yyyy")</f>
        <v>Apr-2026</v>
      </c>
      <c r="I109" s="9">
        <f>SUMIFS($F$2:F171,$C$2:C171,"Income")-SUMIFS($F$2:F171,$C$2:C171,"Expense")</f>
        <v>1735</v>
      </c>
      <c r="J109" s="8" t="str">
        <f>IF(C109="Income","-",IFERROR(VLOOKUP(D109,Budget!$A$2:$F$12,6,FALSE),"-"))</f>
        <v>Within Budget</v>
      </c>
    </row>
    <row r="110" spans="1:10" x14ac:dyDescent="0.3">
      <c r="A110" s="3">
        <v>46141</v>
      </c>
      <c r="B110" s="1" t="s">
        <v>237</v>
      </c>
      <c r="C110" s="1" t="s">
        <v>13</v>
      </c>
      <c r="D110" s="1" t="s">
        <v>17</v>
      </c>
      <c r="E110" s="1" t="s">
        <v>18</v>
      </c>
      <c r="F110" s="9">
        <v>40</v>
      </c>
      <c r="G110" s="1" t="s">
        <v>19</v>
      </c>
      <c r="H110" s="1" t="str">
        <f>TEXT(A110,"mmm-yyyy")</f>
        <v>Apr-2026</v>
      </c>
      <c r="I110" s="9">
        <f>SUMIFS($F$2:F171,$C$2:C171,"Income")-SUMIFS($F$2:F171,$C$2:C171,"Expense")</f>
        <v>1735</v>
      </c>
      <c r="J110" s="8" t="str">
        <f>IF(C110="Income","-",IFERROR(VLOOKUP(D110,Budget!$A$2:$F$12,6,FALSE),"-"))</f>
        <v>Within Budget</v>
      </c>
    </row>
    <row r="111" spans="1:10" x14ac:dyDescent="0.3">
      <c r="A111" s="3">
        <v>46142</v>
      </c>
      <c r="B111" s="1" t="s">
        <v>238</v>
      </c>
      <c r="C111" s="1" t="s">
        <v>13</v>
      </c>
      <c r="D111" s="1" t="s">
        <v>14</v>
      </c>
      <c r="E111" s="1" t="s">
        <v>239</v>
      </c>
      <c r="F111" s="9">
        <v>160</v>
      </c>
      <c r="G111" s="1" t="s">
        <v>11</v>
      </c>
      <c r="H111" s="1" t="str">
        <f>TEXT(A111,"mmm-yyyy")</f>
        <v>Apr-2026</v>
      </c>
      <c r="I111" s="9">
        <f>SUMIFS($F$2:F171,$C$2:C171,"Income")-SUMIFS($F$2:F171,$C$2:C171,"Expense")</f>
        <v>1735</v>
      </c>
      <c r="J111" s="8" t="str">
        <f>IF(C111="Income","-",IFERROR(VLOOKUP(D111,Budget!$A$2:$F$12,6,FALSE),"-"))</f>
        <v>Within Budget</v>
      </c>
    </row>
    <row r="112" spans="1:10" x14ac:dyDescent="0.3">
      <c r="A112" s="3">
        <v>46143</v>
      </c>
      <c r="B112" s="1" t="s">
        <v>240</v>
      </c>
      <c r="C112" s="1" t="s">
        <v>8</v>
      </c>
      <c r="D112" s="1" t="s">
        <v>9</v>
      </c>
      <c r="E112" s="1" t="s">
        <v>241</v>
      </c>
      <c r="F112" s="9">
        <v>3500</v>
      </c>
      <c r="G112" s="1" t="s">
        <v>11</v>
      </c>
      <c r="H112" s="1" t="str">
        <f>TEXT(A112,"mmm-yyyy")</f>
        <v>May-2026</v>
      </c>
      <c r="I112" s="9">
        <f>SUMIFS($F$2:F171,$C$2:C171,"Income")-SUMIFS($F$2:F171,$C$2:C171,"Expense")</f>
        <v>1735</v>
      </c>
      <c r="J112" s="8" t="str">
        <f>IF(C112="Income","-",IFERROR(VLOOKUP(D112,Budget!$A$2:$F$12,6,FALSE),"-"))</f>
        <v>-</v>
      </c>
    </row>
    <row r="113" spans="1:10" x14ac:dyDescent="0.3">
      <c r="A113" s="3">
        <v>46144</v>
      </c>
      <c r="B113" s="1" t="s">
        <v>242</v>
      </c>
      <c r="C113" s="1" t="s">
        <v>13</v>
      </c>
      <c r="D113" s="1" t="s">
        <v>14</v>
      </c>
      <c r="E113" s="1" t="s">
        <v>112</v>
      </c>
      <c r="F113" s="9">
        <v>70</v>
      </c>
      <c r="G113" s="1" t="s">
        <v>19</v>
      </c>
      <c r="H113" s="1" t="str">
        <f>TEXT(A113,"mmm-yyyy")</f>
        <v>May-2026</v>
      </c>
      <c r="I113" s="9">
        <f>SUMIFS($F$2:F171,$C$2:C171,"Income")-SUMIFS($F$2:F171,$C$2:C171,"Expense")</f>
        <v>1735</v>
      </c>
      <c r="J113" s="8" t="str">
        <f>IF(C113="Income","-",IFERROR(VLOOKUP(D113,Budget!$A$2:$F$12,6,FALSE),"-"))</f>
        <v>Within Budget</v>
      </c>
    </row>
    <row r="114" spans="1:10" x14ac:dyDescent="0.3">
      <c r="A114" s="3">
        <v>46145</v>
      </c>
      <c r="B114" s="1" t="s">
        <v>243</v>
      </c>
      <c r="C114" s="1" t="s">
        <v>13</v>
      </c>
      <c r="D114" s="1" t="s">
        <v>17</v>
      </c>
      <c r="E114" s="1" t="s">
        <v>244</v>
      </c>
      <c r="F114" s="9">
        <v>450</v>
      </c>
      <c r="G114" s="1" t="s">
        <v>11</v>
      </c>
      <c r="H114" s="1" t="str">
        <f>TEXT(A114,"mmm-yyyy")</f>
        <v>May-2026</v>
      </c>
      <c r="I114" s="9">
        <f>SUMIFS($F$2:F171,$C$2:C171,"Income")-SUMIFS($F$2:F171,$C$2:C171,"Expense")</f>
        <v>1735</v>
      </c>
      <c r="J114" s="8" t="str">
        <f>IF(C114="Income","-",IFERROR(VLOOKUP(D114,Budget!$A$2:$F$12,6,FALSE),"-"))</f>
        <v>Within Budget</v>
      </c>
    </row>
    <row r="115" spans="1:10" x14ac:dyDescent="0.3">
      <c r="A115" s="3">
        <v>46146</v>
      </c>
      <c r="B115" s="1" t="s">
        <v>245</v>
      </c>
      <c r="C115" s="1" t="s">
        <v>13</v>
      </c>
      <c r="D115" s="1" t="s">
        <v>49</v>
      </c>
      <c r="E115" s="1" t="s">
        <v>246</v>
      </c>
      <c r="F115" s="9">
        <v>350</v>
      </c>
      <c r="G115" s="1" t="s">
        <v>11</v>
      </c>
      <c r="H115" s="1" t="str">
        <f>TEXT(A115,"mmm-yyyy")</f>
        <v>May-2026</v>
      </c>
      <c r="I115" s="9">
        <f>SUMIFS($F$2:F171,$C$2:C171,"Income")-SUMIFS($F$2:F171,$C$2:C171,"Expense")</f>
        <v>1735</v>
      </c>
      <c r="J115" s="8" t="str">
        <f>IF(C115="Income","-",IFERROR(VLOOKUP(D115,Budget!$A$2:$F$12,6,FALSE),"-"))</f>
        <v>Within Budget</v>
      </c>
    </row>
    <row r="116" spans="1:10" x14ac:dyDescent="0.3">
      <c r="A116" s="3">
        <v>46147</v>
      </c>
      <c r="B116" s="1" t="s">
        <v>247</v>
      </c>
      <c r="C116" s="1" t="s">
        <v>13</v>
      </c>
      <c r="D116" s="1" t="s">
        <v>14</v>
      </c>
      <c r="E116" s="1" t="s">
        <v>248</v>
      </c>
      <c r="F116" s="9">
        <v>150</v>
      </c>
      <c r="G116" s="1" t="s">
        <v>11</v>
      </c>
      <c r="H116" s="1" t="str">
        <f>TEXT(A116,"mmm-yyyy")</f>
        <v>May-2026</v>
      </c>
      <c r="I116" s="9">
        <f>SUMIFS($F$2:F171,$C$2:C171,"Income")-SUMIFS($F$2:F171,$C$2:C171,"Expense")</f>
        <v>1735</v>
      </c>
      <c r="J116" s="8" t="str">
        <f>IF(C116="Income","-",IFERROR(VLOOKUP(D116,Budget!$A$2:$F$12,6,FALSE),"-"))</f>
        <v>Within Budget</v>
      </c>
    </row>
    <row r="117" spans="1:10" x14ac:dyDescent="0.3">
      <c r="A117" s="3">
        <v>46148</v>
      </c>
      <c r="B117" s="1" t="s">
        <v>249</v>
      </c>
      <c r="C117" s="1" t="s">
        <v>13</v>
      </c>
      <c r="D117" s="1" t="s">
        <v>23</v>
      </c>
      <c r="E117" s="1" t="s">
        <v>250</v>
      </c>
      <c r="F117" s="9">
        <v>90</v>
      </c>
      <c r="G117" s="1" t="s">
        <v>19</v>
      </c>
      <c r="H117" s="1" t="str">
        <f>TEXT(A117,"mmm-yyyy")</f>
        <v>May-2026</v>
      </c>
      <c r="I117" s="9">
        <f>SUMIFS($F$2:F171,$C$2:C171,"Income")-SUMIFS($F$2:F171,$C$2:C171,"Expense")</f>
        <v>1735</v>
      </c>
      <c r="J117" s="8" t="str">
        <f>IF(C117="Income","-",IFERROR(VLOOKUP(D117,Budget!$A$2:$F$12,6,FALSE),"-"))</f>
        <v>Within Budget</v>
      </c>
    </row>
    <row r="118" spans="1:10" x14ac:dyDescent="0.3">
      <c r="A118" s="3">
        <v>46149</v>
      </c>
      <c r="B118" s="1" t="s">
        <v>251</v>
      </c>
      <c r="C118" s="1" t="s">
        <v>8</v>
      </c>
      <c r="D118" s="1" t="s">
        <v>120</v>
      </c>
      <c r="E118" s="1" t="s">
        <v>252</v>
      </c>
      <c r="F118" s="9">
        <v>1200</v>
      </c>
      <c r="G118" s="1" t="s">
        <v>11</v>
      </c>
      <c r="H118" s="1" t="str">
        <f>TEXT(A118,"mmm-yyyy")</f>
        <v>May-2026</v>
      </c>
      <c r="I118" s="9">
        <f>SUMIFS($F$2:F171,$C$2:C171,"Income")-SUMIFS($F$2:F171,$C$2:C171,"Expense")</f>
        <v>1735</v>
      </c>
      <c r="J118" s="8" t="str">
        <f>IF(C118="Income","-",IFERROR(VLOOKUP(D118,Budget!$A$2:$F$12,6,FALSE),"-"))</f>
        <v>-</v>
      </c>
    </row>
    <row r="119" spans="1:10" x14ac:dyDescent="0.3">
      <c r="A119" s="3">
        <v>46150</v>
      </c>
      <c r="B119" s="1" t="s">
        <v>253</v>
      </c>
      <c r="C119" s="1" t="s">
        <v>13</v>
      </c>
      <c r="D119" s="1" t="s">
        <v>41</v>
      </c>
      <c r="E119" s="1" t="s">
        <v>254</v>
      </c>
      <c r="F119" s="9">
        <v>890</v>
      </c>
      <c r="G119" s="1" t="s">
        <v>11</v>
      </c>
      <c r="H119" s="1" t="str">
        <f>TEXT(A119,"mmm-yyyy")</f>
        <v>May-2026</v>
      </c>
      <c r="I119" s="9">
        <f>SUMIFS($F$2:F171,$C$2:C171,"Income")-SUMIFS($F$2:F171,$C$2:C171,"Expense")</f>
        <v>1735</v>
      </c>
      <c r="J119" s="8" t="str">
        <f>IF(C119="Income","-",IFERROR(VLOOKUP(D119,Budget!$A$2:$F$12,6,FALSE),"-"))</f>
        <v>Within Budget</v>
      </c>
    </row>
    <row r="120" spans="1:10" x14ac:dyDescent="0.3">
      <c r="A120" s="3">
        <v>46151</v>
      </c>
      <c r="B120" s="1" t="s">
        <v>255</v>
      </c>
      <c r="C120" s="1" t="s">
        <v>13</v>
      </c>
      <c r="D120" s="1" t="s">
        <v>14</v>
      </c>
      <c r="E120" s="1" t="s">
        <v>256</v>
      </c>
      <c r="F120" s="9">
        <v>110</v>
      </c>
      <c r="G120" s="1" t="s">
        <v>19</v>
      </c>
      <c r="H120" s="1" t="str">
        <f>TEXT(A120,"mmm-yyyy")</f>
        <v>May-2026</v>
      </c>
      <c r="I120" s="9">
        <f>SUMIFS($F$2:F171,$C$2:C171,"Income")-SUMIFS($F$2:F171,$C$2:C171,"Expense")</f>
        <v>1735</v>
      </c>
      <c r="J120" s="8" t="str">
        <f>IF(C120="Income","-",IFERROR(VLOOKUP(D120,Budget!$A$2:$F$12,6,FALSE),"-"))</f>
        <v>Within Budget</v>
      </c>
    </row>
    <row r="121" spans="1:10" x14ac:dyDescent="0.3">
      <c r="A121" s="3">
        <v>46152</v>
      </c>
      <c r="B121" s="1" t="s">
        <v>257</v>
      </c>
      <c r="C121" s="1" t="s">
        <v>13</v>
      </c>
      <c r="D121" s="1" t="s">
        <v>36</v>
      </c>
      <c r="E121" s="1" t="s">
        <v>258</v>
      </c>
      <c r="F121" s="9">
        <v>239</v>
      </c>
      <c r="G121" s="1" t="s">
        <v>11</v>
      </c>
      <c r="H121" s="1" t="str">
        <f>TEXT(A121,"mmm-yyyy")</f>
        <v>May-2026</v>
      </c>
      <c r="I121" s="9">
        <f>SUMIFS($F$2:F171,$C$2:C171,"Income")-SUMIFS($F$2:F171,$C$2:C171,"Expense")</f>
        <v>1735</v>
      </c>
      <c r="J121" s="8" t="str">
        <f>IF(C121="Income","-",IFERROR(VLOOKUP(D121,Budget!$A$2:$F$12,6,FALSE),"-"))</f>
        <v>Within Budget</v>
      </c>
    </row>
    <row r="122" spans="1:10" x14ac:dyDescent="0.3">
      <c r="A122" s="3">
        <v>46153</v>
      </c>
      <c r="B122" s="1" t="s">
        <v>259</v>
      </c>
      <c r="C122" s="1" t="s">
        <v>13</v>
      </c>
      <c r="D122" s="1" t="s">
        <v>17</v>
      </c>
      <c r="E122" s="1" t="s">
        <v>260</v>
      </c>
      <c r="F122" s="9">
        <v>120</v>
      </c>
      <c r="G122" s="1" t="s">
        <v>11</v>
      </c>
      <c r="H122" s="1" t="str">
        <f>TEXT(A122,"mmm-yyyy")</f>
        <v>May-2026</v>
      </c>
      <c r="I122" s="9">
        <f>SUMIFS($F$2:F171,$C$2:C171,"Income")-SUMIFS($F$2:F171,$C$2:C171,"Expense")</f>
        <v>1735</v>
      </c>
      <c r="J122" s="8" t="str">
        <f>IF(C122="Income","-",IFERROR(VLOOKUP(D122,Budget!$A$2:$F$12,6,FALSE),"-"))</f>
        <v>Within Budget</v>
      </c>
    </row>
    <row r="123" spans="1:10" x14ac:dyDescent="0.3">
      <c r="A123" s="3">
        <v>46154</v>
      </c>
      <c r="B123" s="1" t="s">
        <v>261</v>
      </c>
      <c r="C123" s="1" t="s">
        <v>13</v>
      </c>
      <c r="D123" s="1" t="s">
        <v>14</v>
      </c>
      <c r="E123" s="1" t="s">
        <v>146</v>
      </c>
      <c r="F123" s="9">
        <v>125</v>
      </c>
      <c r="G123" s="1" t="s">
        <v>11</v>
      </c>
      <c r="H123" s="1" t="str">
        <f>TEXT(A123,"mmm-yyyy")</f>
        <v>May-2026</v>
      </c>
      <c r="I123" s="9">
        <f>SUMIFS($F$2:F171,$C$2:C171,"Income")-SUMIFS($F$2:F171,$C$2:C171,"Expense")</f>
        <v>1735</v>
      </c>
      <c r="J123" s="8" t="str">
        <f>IF(C123="Income","-",IFERROR(VLOOKUP(D123,Budget!$A$2:$F$12,6,FALSE),"-"))</f>
        <v>Within Budget</v>
      </c>
    </row>
    <row r="124" spans="1:10" x14ac:dyDescent="0.3">
      <c r="A124" s="3">
        <v>46155</v>
      </c>
      <c r="B124" s="1" t="s">
        <v>262</v>
      </c>
      <c r="C124" s="1" t="s">
        <v>13</v>
      </c>
      <c r="D124" s="1" t="s">
        <v>26</v>
      </c>
      <c r="E124" s="1" t="s">
        <v>263</v>
      </c>
      <c r="F124" s="9">
        <v>350</v>
      </c>
      <c r="G124" s="1" t="s">
        <v>11</v>
      </c>
      <c r="H124" s="1" t="str">
        <f>TEXT(A124,"mmm-yyyy")</f>
        <v>May-2026</v>
      </c>
      <c r="I124" s="9">
        <f>SUMIFS($F$2:F171,$C$2:C171,"Income")-SUMIFS($F$2:F171,$C$2:C171,"Expense")</f>
        <v>1735</v>
      </c>
      <c r="J124" s="8" t="str">
        <f>IF(C124="Income","-",IFERROR(VLOOKUP(D124,Budget!$A$2:$F$12,6,FALSE),"-"))</f>
        <v>Near Limit</v>
      </c>
    </row>
    <row r="125" spans="1:10" x14ac:dyDescent="0.3">
      <c r="A125" s="3">
        <v>46156</v>
      </c>
      <c r="B125" s="1" t="s">
        <v>264</v>
      </c>
      <c r="C125" s="1" t="s">
        <v>13</v>
      </c>
      <c r="D125" s="1" t="s">
        <v>58</v>
      </c>
      <c r="E125" s="1" t="s">
        <v>265</v>
      </c>
      <c r="F125" s="9">
        <v>240</v>
      </c>
      <c r="G125" s="1" t="s">
        <v>11</v>
      </c>
      <c r="H125" s="1" t="str">
        <f>TEXT(A125,"mmm-yyyy")</f>
        <v>May-2026</v>
      </c>
      <c r="I125" s="9">
        <f>SUMIFS($F$2:F171,$C$2:C171,"Income")-SUMIFS($F$2:F171,$C$2:C171,"Expense")</f>
        <v>1735</v>
      </c>
      <c r="J125" s="8" t="str">
        <f>IF(C125="Income","-",IFERROR(VLOOKUP(D125,Budget!$A$2:$F$12,6,FALSE),"-"))</f>
        <v>Within Budget</v>
      </c>
    </row>
    <row r="126" spans="1:10" x14ac:dyDescent="0.3">
      <c r="A126" s="3">
        <v>46157</v>
      </c>
      <c r="B126" s="1" t="s">
        <v>266</v>
      </c>
      <c r="C126" s="1" t="s">
        <v>8</v>
      </c>
      <c r="D126" s="1" t="s">
        <v>9</v>
      </c>
      <c r="E126" s="1" t="s">
        <v>267</v>
      </c>
      <c r="F126" s="9">
        <v>500</v>
      </c>
      <c r="G126" s="1" t="s">
        <v>11</v>
      </c>
      <c r="H126" s="1" t="str">
        <f>TEXT(A126,"mmm-yyyy")</f>
        <v>May-2026</v>
      </c>
      <c r="I126" s="9">
        <f>SUMIFS($F$2:F171,$C$2:C171,"Income")-SUMIFS($F$2:F171,$C$2:C171,"Expense")</f>
        <v>1735</v>
      </c>
      <c r="J126" s="8" t="str">
        <f>IF(C126="Income","-",IFERROR(VLOOKUP(D126,Budget!$A$2:$F$12,6,FALSE),"-"))</f>
        <v>-</v>
      </c>
    </row>
    <row r="127" spans="1:10" x14ac:dyDescent="0.3">
      <c r="A127" s="3">
        <v>46158</v>
      </c>
      <c r="B127" s="1" t="s">
        <v>268</v>
      </c>
      <c r="C127" s="1" t="s">
        <v>13</v>
      </c>
      <c r="D127" s="1" t="s">
        <v>14</v>
      </c>
      <c r="E127" s="1" t="s">
        <v>101</v>
      </c>
      <c r="F127" s="9">
        <v>210</v>
      </c>
      <c r="G127" s="1" t="s">
        <v>11</v>
      </c>
      <c r="H127" s="1" t="str">
        <f>TEXT(A127,"mmm-yyyy")</f>
        <v>May-2026</v>
      </c>
      <c r="I127" s="9">
        <f>SUMIFS($F$2:F171,$C$2:C171,"Income")-SUMIFS($F$2:F171,$C$2:C171,"Expense")</f>
        <v>1735</v>
      </c>
      <c r="J127" s="8" t="str">
        <f>IF(C127="Income","-",IFERROR(VLOOKUP(D127,Budget!$A$2:$F$12,6,FALSE),"-"))</f>
        <v>Within Budget</v>
      </c>
    </row>
    <row r="128" spans="1:10" x14ac:dyDescent="0.3">
      <c r="A128" s="3">
        <v>46159</v>
      </c>
      <c r="B128" s="1" t="s">
        <v>269</v>
      </c>
      <c r="C128" s="1" t="s">
        <v>13</v>
      </c>
      <c r="D128" s="1" t="s">
        <v>17</v>
      </c>
      <c r="E128" s="1" t="s">
        <v>18</v>
      </c>
      <c r="F128" s="9">
        <v>40</v>
      </c>
      <c r="G128" s="1" t="s">
        <v>19</v>
      </c>
      <c r="H128" s="1" t="str">
        <f>TEXT(A128,"mmm-yyyy")</f>
        <v>May-2026</v>
      </c>
      <c r="I128" s="9">
        <f>SUMIFS($F$2:F171,$C$2:C171,"Income")-SUMIFS($F$2:F171,$C$2:C171,"Expense")</f>
        <v>1735</v>
      </c>
      <c r="J128" s="8" t="str">
        <f>IF(C128="Income","-",IFERROR(VLOOKUP(D128,Budget!$A$2:$F$12,6,FALSE),"-"))</f>
        <v>Within Budget</v>
      </c>
    </row>
    <row r="129" spans="1:10" x14ac:dyDescent="0.3">
      <c r="A129" s="3">
        <v>46160</v>
      </c>
      <c r="B129" s="1" t="s">
        <v>270</v>
      </c>
      <c r="C129" s="1" t="s">
        <v>13</v>
      </c>
      <c r="D129" s="1" t="s">
        <v>131</v>
      </c>
      <c r="E129" s="1" t="s">
        <v>271</v>
      </c>
      <c r="F129" s="9">
        <v>280</v>
      </c>
      <c r="G129" s="1" t="s">
        <v>11</v>
      </c>
      <c r="H129" s="1" t="str">
        <f>TEXT(A129,"mmm-yyyy")</f>
        <v>May-2026</v>
      </c>
      <c r="I129" s="9">
        <f>SUMIFS($F$2:F171,$C$2:C171,"Income")-SUMIFS($F$2:F171,$C$2:C171,"Expense")</f>
        <v>1735</v>
      </c>
      <c r="J129" s="8" t="str">
        <f>IF(C129="Income","-",IFERROR(VLOOKUP(D129,Budget!$A$2:$F$12,6,FALSE),"-"))</f>
        <v>Within Budget</v>
      </c>
    </row>
    <row r="130" spans="1:10" x14ac:dyDescent="0.3">
      <c r="A130" s="3">
        <v>46161</v>
      </c>
      <c r="B130" s="1" t="s">
        <v>272</v>
      </c>
      <c r="C130" s="1" t="s">
        <v>13</v>
      </c>
      <c r="D130" s="1" t="s">
        <v>14</v>
      </c>
      <c r="E130" s="1" t="s">
        <v>273</v>
      </c>
      <c r="F130" s="9">
        <v>85</v>
      </c>
      <c r="G130" s="1" t="s">
        <v>19</v>
      </c>
      <c r="H130" s="1" t="str">
        <f>TEXT(A130,"mmm-yyyy")</f>
        <v>May-2026</v>
      </c>
      <c r="I130" s="9">
        <f>SUMIFS($F$2:F171,$C$2:C171,"Income")-SUMIFS($F$2:F171,$C$2:C171,"Expense")</f>
        <v>1735</v>
      </c>
      <c r="J130" s="8" t="str">
        <f>IF(C130="Income","-",IFERROR(VLOOKUP(D130,Budget!$A$2:$F$12,6,FALSE),"-"))</f>
        <v>Within Budget</v>
      </c>
    </row>
    <row r="131" spans="1:10" x14ac:dyDescent="0.3">
      <c r="A131" s="3">
        <v>46162</v>
      </c>
      <c r="B131" s="1" t="s">
        <v>274</v>
      </c>
      <c r="C131" s="1" t="s">
        <v>13</v>
      </c>
      <c r="D131" s="1" t="s">
        <v>49</v>
      </c>
      <c r="E131" s="1" t="s">
        <v>275</v>
      </c>
      <c r="F131" s="9">
        <v>380</v>
      </c>
      <c r="G131" s="1" t="s">
        <v>11</v>
      </c>
      <c r="H131" s="1" t="str">
        <f>TEXT(A131,"mmm-yyyy")</f>
        <v>May-2026</v>
      </c>
      <c r="I131" s="9">
        <f>SUMIFS($F$2:F171,$C$2:C171,"Income")-SUMIFS($F$2:F171,$C$2:C171,"Expense")</f>
        <v>1735</v>
      </c>
      <c r="J131" s="8" t="str">
        <f>IF(C131="Income","-",IFERROR(VLOOKUP(D131,Budget!$A$2:$F$12,6,FALSE),"-"))</f>
        <v>Within Budget</v>
      </c>
    </row>
    <row r="132" spans="1:10" x14ac:dyDescent="0.3">
      <c r="A132" s="3">
        <v>46163</v>
      </c>
      <c r="B132" s="1" t="s">
        <v>276</v>
      </c>
      <c r="C132" s="1" t="s">
        <v>13</v>
      </c>
      <c r="D132" s="1" t="s">
        <v>17</v>
      </c>
      <c r="E132" s="1" t="s">
        <v>34</v>
      </c>
      <c r="F132" s="9">
        <v>80</v>
      </c>
      <c r="G132" s="1" t="s">
        <v>19</v>
      </c>
      <c r="H132" s="1" t="str">
        <f>TEXT(A132,"mmm-yyyy")</f>
        <v>May-2026</v>
      </c>
      <c r="I132" s="9">
        <f>SUMIFS($F$2:F171,$C$2:C171,"Income")-SUMIFS($F$2:F171,$C$2:C171,"Expense")</f>
        <v>1735</v>
      </c>
      <c r="J132" s="8" t="str">
        <f>IF(C132="Income","-",IFERROR(VLOOKUP(D132,Budget!$A$2:$F$12,6,FALSE),"-"))</f>
        <v>Within Budget</v>
      </c>
    </row>
    <row r="133" spans="1:10" x14ac:dyDescent="0.3">
      <c r="A133" s="3">
        <v>46164</v>
      </c>
      <c r="B133" s="1" t="s">
        <v>277</v>
      </c>
      <c r="C133" s="1" t="s">
        <v>13</v>
      </c>
      <c r="D133" s="1" t="s">
        <v>14</v>
      </c>
      <c r="E133" s="1" t="s">
        <v>278</v>
      </c>
      <c r="F133" s="9">
        <v>140</v>
      </c>
      <c r="G133" s="1" t="s">
        <v>11</v>
      </c>
      <c r="H133" s="1" t="str">
        <f>TEXT(A133,"mmm-yyyy")</f>
        <v>May-2026</v>
      </c>
      <c r="I133" s="9">
        <f>SUMIFS($F$2:F171,$C$2:C171,"Income")-SUMIFS($F$2:F171,$C$2:C171,"Expense")</f>
        <v>1735</v>
      </c>
      <c r="J133" s="8" t="str">
        <f>IF(C133="Income","-",IFERROR(VLOOKUP(D133,Budget!$A$2:$F$12,6,FALSE),"-"))</f>
        <v>Within Budget</v>
      </c>
    </row>
    <row r="134" spans="1:10" x14ac:dyDescent="0.3">
      <c r="A134" s="3">
        <v>46165</v>
      </c>
      <c r="B134" s="1" t="s">
        <v>279</v>
      </c>
      <c r="C134" s="1" t="s">
        <v>13</v>
      </c>
      <c r="D134" s="1" t="s">
        <v>41</v>
      </c>
      <c r="E134" s="1" t="s">
        <v>280</v>
      </c>
      <c r="F134" s="9">
        <v>180</v>
      </c>
      <c r="G134" s="1" t="s">
        <v>19</v>
      </c>
      <c r="H134" s="1" t="str">
        <f>TEXT(A134,"mmm-yyyy")</f>
        <v>May-2026</v>
      </c>
      <c r="I134" s="9">
        <f>SUMIFS($F$2:F171,$C$2:C171,"Income")-SUMIFS($F$2:F171,$C$2:C171,"Expense")</f>
        <v>1735</v>
      </c>
      <c r="J134" s="8" t="str">
        <f>IF(C134="Income","-",IFERROR(VLOOKUP(D134,Budget!$A$2:$F$12,6,FALSE),"-"))</f>
        <v>Within Budget</v>
      </c>
    </row>
    <row r="135" spans="1:10" x14ac:dyDescent="0.3">
      <c r="A135" s="3">
        <v>46166</v>
      </c>
      <c r="B135" s="1" t="s">
        <v>281</v>
      </c>
      <c r="C135" s="1" t="s">
        <v>13</v>
      </c>
      <c r="D135" s="1" t="s">
        <v>26</v>
      </c>
      <c r="E135" s="1" t="s">
        <v>282</v>
      </c>
      <c r="F135" s="9">
        <v>200</v>
      </c>
      <c r="G135" s="1" t="s">
        <v>11</v>
      </c>
      <c r="H135" s="1" t="str">
        <f>TEXT(A135,"mmm-yyyy")</f>
        <v>May-2026</v>
      </c>
      <c r="I135" s="9">
        <f>SUMIFS($F$2:F171,$C$2:C171,"Income")-SUMIFS($F$2:F171,$C$2:C171,"Expense")</f>
        <v>1735</v>
      </c>
      <c r="J135" s="8" t="str">
        <f>IF(C135="Income","-",IFERROR(VLOOKUP(D135,Budget!$A$2:$F$12,6,FALSE),"-"))</f>
        <v>Near Limit</v>
      </c>
    </row>
    <row r="136" spans="1:10" x14ac:dyDescent="0.3">
      <c r="A136" s="3">
        <v>46167</v>
      </c>
      <c r="B136" s="1" t="s">
        <v>283</v>
      </c>
      <c r="C136" s="1" t="s">
        <v>8</v>
      </c>
      <c r="D136" s="1" t="s">
        <v>67</v>
      </c>
      <c r="E136" s="1" t="s">
        <v>284</v>
      </c>
      <c r="F136" s="9">
        <v>38</v>
      </c>
      <c r="G136" s="1" t="s">
        <v>69</v>
      </c>
      <c r="H136" s="1" t="str">
        <f>TEXT(A136,"mmm-yyyy")</f>
        <v>May-2026</v>
      </c>
      <c r="I136" s="9">
        <f>SUMIFS($F$2:F171,$C$2:C171,"Income")-SUMIFS($F$2:F171,$C$2:C171,"Expense")</f>
        <v>1735</v>
      </c>
      <c r="J136" s="8" t="str">
        <f>IF(C136="Income","-",IFERROR(VLOOKUP(D136,Budget!$A$2:$F$12,6,FALSE),"-"))</f>
        <v>-</v>
      </c>
    </row>
    <row r="137" spans="1:10" x14ac:dyDescent="0.3">
      <c r="A137" s="3">
        <v>46168</v>
      </c>
      <c r="B137" s="1" t="s">
        <v>285</v>
      </c>
      <c r="C137" s="1" t="s">
        <v>13</v>
      </c>
      <c r="D137" s="1" t="s">
        <v>14</v>
      </c>
      <c r="E137" s="1" t="s">
        <v>286</v>
      </c>
      <c r="F137" s="9">
        <v>90</v>
      </c>
      <c r="G137" s="1" t="s">
        <v>19</v>
      </c>
      <c r="H137" s="1" t="str">
        <f>TEXT(A137,"mmm-yyyy")</f>
        <v>May-2026</v>
      </c>
      <c r="I137" s="9">
        <f>SUMIFS($F$2:F171,$C$2:C171,"Income")-SUMIFS($F$2:F171,$C$2:C171,"Expense")</f>
        <v>1735</v>
      </c>
      <c r="J137" s="8" t="str">
        <f>IF(C137="Income","-",IFERROR(VLOOKUP(D137,Budget!$A$2:$F$12,6,FALSE),"-"))</f>
        <v>Within Budget</v>
      </c>
    </row>
    <row r="138" spans="1:10" x14ac:dyDescent="0.3">
      <c r="A138" s="3">
        <v>46169</v>
      </c>
      <c r="B138" s="1" t="s">
        <v>287</v>
      </c>
      <c r="C138" s="1" t="s">
        <v>13</v>
      </c>
      <c r="D138" s="1" t="s">
        <v>17</v>
      </c>
      <c r="E138" s="1" t="s">
        <v>18</v>
      </c>
      <c r="F138" s="9">
        <v>40</v>
      </c>
      <c r="G138" s="1" t="s">
        <v>19</v>
      </c>
      <c r="H138" s="1" t="str">
        <f>TEXT(A138,"mmm-yyyy")</f>
        <v>May-2026</v>
      </c>
      <c r="I138" s="9">
        <f>SUMIFS($F$2:F171,$C$2:C171,"Income")-SUMIFS($F$2:F171,$C$2:C171,"Expense")</f>
        <v>1735</v>
      </c>
      <c r="J138" s="8" t="str">
        <f>IF(C138="Income","-",IFERROR(VLOOKUP(D138,Budget!$A$2:$F$12,6,FALSE),"-"))</f>
        <v>Within Budget</v>
      </c>
    </row>
    <row r="139" spans="1:10" x14ac:dyDescent="0.3">
      <c r="A139" s="3">
        <v>46170</v>
      </c>
      <c r="B139" s="1" t="s">
        <v>288</v>
      </c>
      <c r="C139" s="1" t="s">
        <v>13</v>
      </c>
      <c r="D139" s="1" t="s">
        <v>132</v>
      </c>
      <c r="E139" s="1" t="s">
        <v>289</v>
      </c>
      <c r="F139" s="9">
        <v>320</v>
      </c>
      <c r="G139" s="1" t="s">
        <v>11</v>
      </c>
      <c r="H139" s="1" t="str">
        <f>TEXT(A139,"mmm-yyyy")</f>
        <v>May-2026</v>
      </c>
      <c r="I139" s="9">
        <f>SUMIFS($F$2:F171,$C$2:C171,"Income")-SUMIFS($F$2:F171,$C$2:C171,"Expense")</f>
        <v>1735</v>
      </c>
      <c r="J139" s="8" t="str">
        <f>IF(C139="Income","-",IFERROR(VLOOKUP(D139,Budget!$A$2:$F$12,6,FALSE),"-"))</f>
        <v>Within Budget</v>
      </c>
    </row>
    <row r="140" spans="1:10" x14ac:dyDescent="0.3">
      <c r="A140" s="3">
        <v>46171</v>
      </c>
      <c r="B140" s="1" t="s">
        <v>290</v>
      </c>
      <c r="C140" s="1" t="s">
        <v>13</v>
      </c>
      <c r="D140" s="1" t="s">
        <v>133</v>
      </c>
      <c r="E140" s="1" t="s">
        <v>291</v>
      </c>
      <c r="F140" s="9">
        <v>100</v>
      </c>
      <c r="G140" s="1" t="s">
        <v>11</v>
      </c>
      <c r="H140" s="1" t="str">
        <f>TEXT(A140,"mmm-yyyy")</f>
        <v>May-2026</v>
      </c>
      <c r="I140" s="9">
        <f>SUMIFS($F$2:F171,$C$2:C171,"Income")-SUMIFS($F$2:F171,$C$2:C171,"Expense")</f>
        <v>1735</v>
      </c>
      <c r="J140" s="8" t="str">
        <f>IF(C140="Income","-",IFERROR(VLOOKUP(D140,Budget!$A$2:$F$12,6,FALSE),"-"))</f>
        <v>Within Budget</v>
      </c>
    </row>
    <row r="141" spans="1:10" x14ac:dyDescent="0.3">
      <c r="A141" s="3">
        <v>46172</v>
      </c>
      <c r="B141" s="1" t="s">
        <v>292</v>
      </c>
      <c r="C141" s="1" t="s">
        <v>13</v>
      </c>
      <c r="D141" s="1" t="s">
        <v>14</v>
      </c>
      <c r="E141" s="1" t="s">
        <v>293</v>
      </c>
      <c r="F141" s="9">
        <v>195</v>
      </c>
      <c r="G141" s="1" t="s">
        <v>11</v>
      </c>
      <c r="H141" s="1" t="str">
        <f>TEXT(A141,"mmm-yyyy")</f>
        <v>May-2026</v>
      </c>
      <c r="I141" s="9">
        <f>SUMIFS($F$2:F171,$C$2:C171,"Income")-SUMIFS($F$2:F171,$C$2:C171,"Expense")</f>
        <v>1735</v>
      </c>
      <c r="J141" s="8" t="str">
        <f>IF(C141="Income","-",IFERROR(VLOOKUP(D141,Budget!$A$2:$F$12,6,FALSE),"-"))</f>
        <v>Within Budget</v>
      </c>
    </row>
    <row r="142" spans="1:10" x14ac:dyDescent="0.3">
      <c r="A142" s="3">
        <v>46174</v>
      </c>
      <c r="B142" s="1" t="s">
        <v>294</v>
      </c>
      <c r="C142" s="1" t="s">
        <v>8</v>
      </c>
      <c r="D142" s="1" t="s">
        <v>9</v>
      </c>
      <c r="E142" s="1" t="s">
        <v>295</v>
      </c>
      <c r="F142" s="9">
        <v>3500</v>
      </c>
      <c r="G142" s="1" t="s">
        <v>11</v>
      </c>
      <c r="H142" s="1" t="str">
        <f>TEXT(A142,"mmm-yyyy")</f>
        <v>Jun-2026</v>
      </c>
      <c r="I142" s="9">
        <f>SUMIFS($F$2:F171,$C$2:C171,"Income")-SUMIFS($F$2:F171,$C$2:C171,"Expense")</f>
        <v>1735</v>
      </c>
      <c r="J142" s="8" t="str">
        <f>IF(C142="Income","-",IFERROR(VLOOKUP(D142,Budget!$A$2:$F$12,6,FALSE),"-"))</f>
        <v>-</v>
      </c>
    </row>
    <row r="143" spans="1:10" x14ac:dyDescent="0.3">
      <c r="A143" s="3">
        <v>46175</v>
      </c>
      <c r="B143" s="1" t="s">
        <v>296</v>
      </c>
      <c r="C143" s="1" t="s">
        <v>13</v>
      </c>
      <c r="D143" s="1" t="s">
        <v>14</v>
      </c>
      <c r="E143" s="1" t="s">
        <v>297</v>
      </c>
      <c r="F143" s="9">
        <v>80</v>
      </c>
      <c r="G143" s="1" t="s">
        <v>19</v>
      </c>
      <c r="H143" s="1" t="str">
        <f>TEXT(A143,"mmm-yyyy")</f>
        <v>Jun-2026</v>
      </c>
      <c r="I143" s="9">
        <f>SUMIFS($F$2:F171,$C$2:C171,"Income")-SUMIFS($F$2:F171,$C$2:C171,"Expense")</f>
        <v>1735</v>
      </c>
      <c r="J143" s="8" t="str">
        <f>IF(C143="Income","-",IFERROR(VLOOKUP(D143,Budget!$A$2:$F$12,6,FALSE),"-"))</f>
        <v>Within Budget</v>
      </c>
    </row>
    <row r="144" spans="1:10" x14ac:dyDescent="0.3">
      <c r="A144" s="3">
        <v>46176</v>
      </c>
      <c r="B144" s="1" t="s">
        <v>298</v>
      </c>
      <c r="C144" s="1" t="s">
        <v>13</v>
      </c>
      <c r="D144" s="1" t="s">
        <v>17</v>
      </c>
      <c r="E144" s="1" t="s">
        <v>299</v>
      </c>
      <c r="F144" s="9">
        <v>300</v>
      </c>
      <c r="G144" s="1" t="s">
        <v>11</v>
      </c>
      <c r="H144" s="1" t="str">
        <f>TEXT(A144,"mmm-yyyy")</f>
        <v>Jun-2026</v>
      </c>
      <c r="I144" s="9">
        <f>SUMIFS($F$2:F171,$C$2:C171,"Income")-SUMIFS($F$2:F171,$C$2:C171,"Expense")</f>
        <v>1735</v>
      </c>
      <c r="J144" s="8" t="str">
        <f>IF(C144="Income","-",IFERROR(VLOOKUP(D144,Budget!$A$2:$F$12,6,FALSE),"-"))</f>
        <v>Within Budget</v>
      </c>
    </row>
    <row r="145" spans="1:10" x14ac:dyDescent="0.3">
      <c r="A145" s="3">
        <v>46177</v>
      </c>
      <c r="B145" s="1" t="s">
        <v>300</v>
      </c>
      <c r="C145" s="1" t="s">
        <v>13</v>
      </c>
      <c r="D145" s="1" t="s">
        <v>14</v>
      </c>
      <c r="E145" s="1" t="s">
        <v>188</v>
      </c>
      <c r="F145" s="9">
        <v>130</v>
      </c>
      <c r="G145" s="1" t="s">
        <v>11</v>
      </c>
      <c r="H145" s="1" t="str">
        <f>TEXT(A145,"mmm-yyyy")</f>
        <v>Jun-2026</v>
      </c>
      <c r="I145" s="9">
        <f>SUMIFS($F$2:F171,$C$2:C171,"Income")-SUMIFS($F$2:F171,$C$2:C171,"Expense")</f>
        <v>1735</v>
      </c>
      <c r="J145" s="8" t="str">
        <f>IF(C145="Income","-",IFERROR(VLOOKUP(D145,Budget!$A$2:$F$12,6,FALSE),"-"))</f>
        <v>Within Budget</v>
      </c>
    </row>
    <row r="146" spans="1:10" x14ac:dyDescent="0.3">
      <c r="A146" s="3">
        <v>46178</v>
      </c>
      <c r="B146" s="1" t="s">
        <v>301</v>
      </c>
      <c r="C146" s="1" t="s">
        <v>13</v>
      </c>
      <c r="D146" s="1" t="s">
        <v>23</v>
      </c>
      <c r="E146" s="1" t="s">
        <v>302</v>
      </c>
      <c r="F146" s="9">
        <v>160</v>
      </c>
      <c r="G146" s="1" t="s">
        <v>11</v>
      </c>
      <c r="H146" s="1" t="str">
        <f>TEXT(A146,"mmm-yyyy")</f>
        <v>Jun-2026</v>
      </c>
      <c r="I146" s="9">
        <f>SUMIFS($F$2:F171,$C$2:C171,"Income")-SUMIFS($F$2:F171,$C$2:C171,"Expense")</f>
        <v>1735</v>
      </c>
      <c r="J146" s="8" t="str">
        <f>IF(C146="Income","-",IFERROR(VLOOKUP(D146,Budget!$A$2:$F$12,6,FALSE),"-"))</f>
        <v>Within Budget</v>
      </c>
    </row>
    <row r="147" spans="1:10" x14ac:dyDescent="0.3">
      <c r="A147" s="3">
        <v>46179</v>
      </c>
      <c r="B147" s="1" t="s">
        <v>303</v>
      </c>
      <c r="C147" s="1" t="s">
        <v>13</v>
      </c>
      <c r="D147" s="1" t="s">
        <v>26</v>
      </c>
      <c r="E147" s="1" t="s">
        <v>304</v>
      </c>
      <c r="F147" s="9">
        <v>150</v>
      </c>
      <c r="G147" s="1" t="s">
        <v>11</v>
      </c>
      <c r="H147" s="1" t="str">
        <f>TEXT(A147,"mmm-yyyy")</f>
        <v>Jun-2026</v>
      </c>
      <c r="I147" s="9">
        <f>SUMIFS($F$2:F171,$C$2:C171,"Income")-SUMIFS($F$2:F171,$C$2:C171,"Expense")</f>
        <v>1735</v>
      </c>
      <c r="J147" s="8" t="str">
        <f>IF(C147="Income","-",IFERROR(VLOOKUP(D147,Budget!$A$2:$F$12,6,FALSE),"-"))</f>
        <v>Near Limit</v>
      </c>
    </row>
    <row r="148" spans="1:10" x14ac:dyDescent="0.3">
      <c r="A148" s="3">
        <v>46180</v>
      </c>
      <c r="B148" s="1" t="s">
        <v>305</v>
      </c>
      <c r="C148" s="1" t="s">
        <v>8</v>
      </c>
      <c r="D148" s="1" t="s">
        <v>120</v>
      </c>
      <c r="E148" s="1" t="s">
        <v>306</v>
      </c>
      <c r="F148" s="9">
        <v>1500</v>
      </c>
      <c r="G148" s="1" t="s">
        <v>11</v>
      </c>
      <c r="H148" s="1" t="str">
        <f>TEXT(A148,"mmm-yyyy")</f>
        <v>Jun-2026</v>
      </c>
      <c r="I148" s="9">
        <f>SUMIFS($F$2:F171,$C$2:C171,"Income")-SUMIFS($F$2:F171,$C$2:C171,"Expense")</f>
        <v>1735</v>
      </c>
      <c r="J148" s="8" t="str">
        <f>IF(C148="Income","-",IFERROR(VLOOKUP(D148,Budget!$A$2:$F$12,6,FALSE),"-"))</f>
        <v>-</v>
      </c>
    </row>
    <row r="149" spans="1:10" x14ac:dyDescent="0.3">
      <c r="A149" s="3">
        <v>46181</v>
      </c>
      <c r="B149" s="1" t="s">
        <v>307</v>
      </c>
      <c r="C149" s="1" t="s">
        <v>13</v>
      </c>
      <c r="D149" s="1" t="s">
        <v>14</v>
      </c>
      <c r="E149" s="1" t="s">
        <v>308</v>
      </c>
      <c r="F149" s="9">
        <v>95</v>
      </c>
      <c r="G149" s="1" t="s">
        <v>19</v>
      </c>
      <c r="H149" s="1" t="str">
        <f>TEXT(A149,"mmm-yyyy")</f>
        <v>Jun-2026</v>
      </c>
      <c r="I149" s="9">
        <f>SUMIFS($F$2:F171,$C$2:C171,"Income")-SUMIFS($F$2:F171,$C$2:C171,"Expense")</f>
        <v>1735</v>
      </c>
      <c r="J149" s="8" t="str">
        <f>IF(C149="Income","-",IFERROR(VLOOKUP(D149,Budget!$A$2:$F$12,6,FALSE),"-"))</f>
        <v>Within Budget</v>
      </c>
    </row>
    <row r="150" spans="1:10" x14ac:dyDescent="0.3">
      <c r="A150" s="3">
        <v>46182</v>
      </c>
      <c r="B150" s="1" t="s">
        <v>309</v>
      </c>
      <c r="C150" s="1" t="s">
        <v>13</v>
      </c>
      <c r="D150" s="1" t="s">
        <v>17</v>
      </c>
      <c r="E150" s="1" t="s">
        <v>34</v>
      </c>
      <c r="F150" s="9">
        <v>90</v>
      </c>
      <c r="G150" s="1" t="s">
        <v>11</v>
      </c>
      <c r="H150" s="1" t="str">
        <f>TEXT(A150,"mmm-yyyy")</f>
        <v>Jun-2026</v>
      </c>
      <c r="I150" s="9">
        <f>SUMIFS($F$2:F171,$C$2:C171,"Income")-SUMIFS($F$2:F171,$C$2:C171,"Expense")</f>
        <v>1735</v>
      </c>
      <c r="J150" s="8" t="str">
        <f>IF(C150="Income","-",IFERROR(VLOOKUP(D150,Budget!$A$2:$F$12,6,FALSE),"-"))</f>
        <v>Within Budget</v>
      </c>
    </row>
    <row r="151" spans="1:10" x14ac:dyDescent="0.3">
      <c r="A151" s="3">
        <v>46183</v>
      </c>
      <c r="B151" s="1" t="s">
        <v>310</v>
      </c>
      <c r="C151" s="1" t="s">
        <v>13</v>
      </c>
      <c r="D151" s="1" t="s">
        <v>36</v>
      </c>
      <c r="E151" s="1" t="s">
        <v>311</v>
      </c>
      <c r="F151" s="9">
        <v>239</v>
      </c>
      <c r="G151" s="1" t="s">
        <v>11</v>
      </c>
      <c r="H151" s="1" t="str">
        <f>TEXT(A151,"mmm-yyyy")</f>
        <v>Jun-2026</v>
      </c>
      <c r="I151" s="9">
        <f>SUMIFS($F$2:F171,$C$2:C171,"Income")-SUMIFS($F$2:F171,$C$2:C171,"Expense")</f>
        <v>1735</v>
      </c>
      <c r="J151" s="8" t="str">
        <f>IF(C151="Income","-",IFERROR(VLOOKUP(D151,Budget!$A$2:$F$12,6,FALSE),"-"))</f>
        <v>Within Budget</v>
      </c>
    </row>
    <row r="152" spans="1:10" x14ac:dyDescent="0.3">
      <c r="A152" s="3">
        <v>46184</v>
      </c>
      <c r="B152" s="1" t="s">
        <v>312</v>
      </c>
      <c r="C152" s="1" t="s">
        <v>13</v>
      </c>
      <c r="D152" s="1" t="s">
        <v>49</v>
      </c>
      <c r="E152" s="1" t="s">
        <v>313</v>
      </c>
      <c r="F152" s="9">
        <v>450</v>
      </c>
      <c r="G152" s="1" t="s">
        <v>11</v>
      </c>
      <c r="H152" s="1" t="str">
        <f>TEXT(A152,"mmm-yyyy")</f>
        <v>Jun-2026</v>
      </c>
      <c r="I152" s="9">
        <f>SUMIFS($F$2:F171,$C$2:C171,"Income")-SUMIFS($F$2:F171,$C$2:C171,"Expense")</f>
        <v>1735</v>
      </c>
      <c r="J152" s="8" t="str">
        <f>IF(C152="Income","-",IFERROR(VLOOKUP(D152,Budget!$A$2:$F$12,6,FALSE),"-"))</f>
        <v>Within Budget</v>
      </c>
    </row>
    <row r="153" spans="1:10" x14ac:dyDescent="0.3">
      <c r="A153" s="3">
        <v>46185</v>
      </c>
      <c r="B153" s="1" t="s">
        <v>314</v>
      </c>
      <c r="C153" s="1" t="s">
        <v>13</v>
      </c>
      <c r="D153" s="1" t="s">
        <v>14</v>
      </c>
      <c r="E153" s="1" t="s">
        <v>315</v>
      </c>
      <c r="F153" s="9">
        <v>175</v>
      </c>
      <c r="G153" s="1" t="s">
        <v>11</v>
      </c>
      <c r="H153" s="1" t="str">
        <f>TEXT(A153,"mmm-yyyy")</f>
        <v>Jun-2026</v>
      </c>
      <c r="I153" s="9">
        <f>SUMIFS($F$2:F171,$C$2:C171,"Income")-SUMIFS($F$2:F171,$C$2:C171,"Expense")</f>
        <v>1735</v>
      </c>
      <c r="J153" s="8" t="str">
        <f>IF(C153="Income","-",IFERROR(VLOOKUP(D153,Budget!$A$2:$F$12,6,FALSE),"-"))</f>
        <v>Within Budget</v>
      </c>
    </row>
    <row r="154" spans="1:10" x14ac:dyDescent="0.3">
      <c r="A154" s="3">
        <v>46186</v>
      </c>
      <c r="B154" s="1" t="s">
        <v>316</v>
      </c>
      <c r="C154" s="1" t="s">
        <v>13</v>
      </c>
      <c r="D154" s="1" t="s">
        <v>41</v>
      </c>
      <c r="E154" s="1" t="s">
        <v>317</v>
      </c>
      <c r="F154" s="9">
        <v>750</v>
      </c>
      <c r="G154" s="1" t="s">
        <v>11</v>
      </c>
      <c r="H154" s="1" t="str">
        <f>TEXT(A154,"mmm-yyyy")</f>
        <v>Jun-2026</v>
      </c>
      <c r="I154" s="9">
        <f>SUMIFS($F$2:F171,$C$2:C171,"Income")-SUMIFS($F$2:F171,$C$2:C171,"Expense")</f>
        <v>1735</v>
      </c>
      <c r="J154" s="8" t="str">
        <f>IF(C154="Income","-",IFERROR(VLOOKUP(D154,Budget!$A$2:$F$12,6,FALSE),"-"))</f>
        <v>Within Budget</v>
      </c>
    </row>
    <row r="155" spans="1:10" x14ac:dyDescent="0.3">
      <c r="A155" s="3">
        <v>46187</v>
      </c>
      <c r="B155" s="1" t="s">
        <v>318</v>
      </c>
      <c r="C155" s="1" t="s">
        <v>13</v>
      </c>
      <c r="D155" s="1" t="s">
        <v>17</v>
      </c>
      <c r="E155" s="1" t="s">
        <v>18</v>
      </c>
      <c r="F155" s="9">
        <v>40</v>
      </c>
      <c r="G155" s="1" t="s">
        <v>19</v>
      </c>
      <c r="H155" s="1" t="str">
        <f>TEXT(A155,"mmm-yyyy")</f>
        <v>Jun-2026</v>
      </c>
      <c r="I155" s="9">
        <f>SUMIFS($F$2:F171,$C$2:C171,"Income")-SUMIFS($F$2:F171,$C$2:C171,"Expense")</f>
        <v>1735</v>
      </c>
      <c r="J155" s="8" t="str">
        <f>IF(C155="Income","-",IFERROR(VLOOKUP(D155,Budget!$A$2:$F$12,6,FALSE),"-"))</f>
        <v>Within Budget</v>
      </c>
    </row>
    <row r="156" spans="1:10" x14ac:dyDescent="0.3">
      <c r="A156" s="3">
        <v>46188</v>
      </c>
      <c r="B156" s="1" t="s">
        <v>319</v>
      </c>
      <c r="C156" s="1" t="s">
        <v>8</v>
      </c>
      <c r="D156" s="1" t="s">
        <v>29</v>
      </c>
      <c r="E156" s="1" t="s">
        <v>320</v>
      </c>
      <c r="F156" s="9">
        <v>1000</v>
      </c>
      <c r="G156" s="1" t="s">
        <v>11</v>
      </c>
      <c r="H156" s="1" t="str">
        <f>TEXT(A156,"mmm-yyyy")</f>
        <v>Jun-2026</v>
      </c>
      <c r="I156" s="9">
        <f>SUMIFS($F$2:F171,$C$2:C171,"Income")-SUMIFS($F$2:F171,$C$2:C171,"Expense")</f>
        <v>1735</v>
      </c>
      <c r="J156" s="8" t="str">
        <f>IF(C156="Income","-",IFERROR(VLOOKUP(D156,Budget!$A$2:$F$12,6,FALSE),"-"))</f>
        <v>-</v>
      </c>
    </row>
    <row r="157" spans="1:10" x14ac:dyDescent="0.3">
      <c r="A157" s="3">
        <v>46189</v>
      </c>
      <c r="B157" s="1" t="s">
        <v>321</v>
      </c>
      <c r="C157" s="1" t="s">
        <v>13</v>
      </c>
      <c r="D157" s="1" t="s">
        <v>58</v>
      </c>
      <c r="E157" s="1" t="s">
        <v>322</v>
      </c>
      <c r="F157" s="9">
        <v>210</v>
      </c>
      <c r="G157" s="1" t="s">
        <v>11</v>
      </c>
      <c r="H157" s="1" t="str">
        <f>TEXT(A157,"mmm-yyyy")</f>
        <v>Jun-2026</v>
      </c>
      <c r="I157" s="9">
        <f>SUMIFS($F$2:F171,$C$2:C171,"Income")-SUMIFS($F$2:F171,$C$2:C171,"Expense")</f>
        <v>1735</v>
      </c>
      <c r="J157" s="8" t="str">
        <f>IF(C157="Income","-",IFERROR(VLOOKUP(D157,Budget!$A$2:$F$12,6,FALSE),"-"))</f>
        <v>Within Budget</v>
      </c>
    </row>
    <row r="158" spans="1:10" x14ac:dyDescent="0.3">
      <c r="A158" s="3">
        <v>46190</v>
      </c>
      <c r="B158" s="1" t="s">
        <v>323</v>
      </c>
      <c r="C158" s="1" t="s">
        <v>13</v>
      </c>
      <c r="D158" s="1" t="s">
        <v>14</v>
      </c>
      <c r="E158" s="1" t="s">
        <v>324</v>
      </c>
      <c r="F158" s="9">
        <v>85</v>
      </c>
      <c r="G158" s="1" t="s">
        <v>19</v>
      </c>
      <c r="H158" s="1" t="str">
        <f>TEXT(A158,"mmm-yyyy")</f>
        <v>Jun-2026</v>
      </c>
      <c r="I158" s="9">
        <f>SUMIFS($F$2:F171,$C$2:C171,"Income")-SUMIFS($F$2:F171,$C$2:C171,"Expense")</f>
        <v>1735</v>
      </c>
      <c r="J158" s="8" t="str">
        <f>IF(C158="Income","-",IFERROR(VLOOKUP(D158,Budget!$A$2:$F$12,6,FALSE),"-"))</f>
        <v>Within Budget</v>
      </c>
    </row>
    <row r="159" spans="1:10" x14ac:dyDescent="0.3">
      <c r="A159" s="3">
        <v>46191</v>
      </c>
      <c r="B159" s="1" t="s">
        <v>325</v>
      </c>
      <c r="C159" s="1" t="s">
        <v>13</v>
      </c>
      <c r="D159" s="1" t="s">
        <v>26</v>
      </c>
      <c r="E159" s="1" t="s">
        <v>326</v>
      </c>
      <c r="F159" s="9">
        <v>299</v>
      </c>
      <c r="G159" s="1" t="s">
        <v>11</v>
      </c>
      <c r="H159" s="1" t="str">
        <f>TEXT(A159,"mmm-yyyy")</f>
        <v>Jun-2026</v>
      </c>
      <c r="I159" s="9">
        <f>SUMIFS($F$2:F171,$C$2:C171,"Income")-SUMIFS($F$2:F171,$C$2:C171,"Expense")</f>
        <v>1735</v>
      </c>
      <c r="J159" s="8" t="str">
        <f>IF(C159="Income","-",IFERROR(VLOOKUP(D159,Budget!$A$2:$F$12,6,FALSE),"-"))</f>
        <v>Near Limit</v>
      </c>
    </row>
    <row r="160" spans="1:10" x14ac:dyDescent="0.3">
      <c r="A160" s="3">
        <v>46192</v>
      </c>
      <c r="B160" s="1" t="s">
        <v>327</v>
      </c>
      <c r="C160" s="1" t="s">
        <v>13</v>
      </c>
      <c r="D160" s="1" t="s">
        <v>131</v>
      </c>
      <c r="E160" s="1" t="s">
        <v>328</v>
      </c>
      <c r="F160" s="9">
        <v>200</v>
      </c>
      <c r="G160" s="1" t="s">
        <v>11</v>
      </c>
      <c r="H160" s="1" t="str">
        <f>TEXT(A160,"mmm-yyyy")</f>
        <v>Jun-2026</v>
      </c>
      <c r="I160" s="9">
        <f>SUMIFS($F$2:F171,$C$2:C171,"Income")-SUMIFS($F$2:F171,$C$2:C171,"Expense")</f>
        <v>1735</v>
      </c>
      <c r="J160" s="8" t="str">
        <f>IF(C160="Income","-",IFERROR(VLOOKUP(D160,Budget!$A$2:$F$12,6,FALSE),"-"))</f>
        <v>Within Budget</v>
      </c>
    </row>
    <row r="161" spans="1:10" x14ac:dyDescent="0.3">
      <c r="A161" s="3">
        <v>46193</v>
      </c>
      <c r="B161" s="1" t="s">
        <v>329</v>
      </c>
      <c r="C161" s="1" t="s">
        <v>13</v>
      </c>
      <c r="D161" s="1" t="s">
        <v>14</v>
      </c>
      <c r="E161" s="1" t="s">
        <v>330</v>
      </c>
      <c r="F161" s="9">
        <v>135</v>
      </c>
      <c r="G161" s="1" t="s">
        <v>11</v>
      </c>
      <c r="H161" s="1" t="str">
        <f>TEXT(A161,"mmm-yyyy")</f>
        <v>Jun-2026</v>
      </c>
      <c r="I161" s="9">
        <f>SUMIFS($F$2:F171,$C$2:C171,"Income")-SUMIFS($F$2:F171,$C$2:C171,"Expense")</f>
        <v>1735</v>
      </c>
      <c r="J161" s="8" t="str">
        <f>IF(C161="Income","-",IFERROR(VLOOKUP(D161,Budget!$A$2:$F$12,6,FALSE),"-"))</f>
        <v>Within Budget</v>
      </c>
    </row>
    <row r="162" spans="1:10" x14ac:dyDescent="0.3">
      <c r="A162" s="3">
        <v>46194</v>
      </c>
      <c r="B162" s="1" t="s">
        <v>331</v>
      </c>
      <c r="C162" s="1" t="s">
        <v>13</v>
      </c>
      <c r="D162" s="1" t="s">
        <v>17</v>
      </c>
      <c r="E162" s="1" t="s">
        <v>332</v>
      </c>
      <c r="F162" s="9">
        <v>110</v>
      </c>
      <c r="G162" s="1" t="s">
        <v>11</v>
      </c>
      <c r="H162" s="1" t="str">
        <f>TEXT(A162,"mmm-yyyy")</f>
        <v>Jun-2026</v>
      </c>
      <c r="I162" s="9">
        <f>SUMIFS($F$2:F171,$C$2:C171,"Income")-SUMIFS($F$2:F171,$C$2:C171,"Expense")</f>
        <v>1735</v>
      </c>
      <c r="J162" s="8" t="str">
        <f>IF(C162="Income","-",IFERROR(VLOOKUP(D162,Budget!$A$2:$F$12,6,FALSE),"-"))</f>
        <v>Within Budget</v>
      </c>
    </row>
    <row r="163" spans="1:10" x14ac:dyDescent="0.3">
      <c r="A163" s="3">
        <v>46195</v>
      </c>
      <c r="B163" s="1" t="s">
        <v>333</v>
      </c>
      <c r="C163" s="1" t="s">
        <v>13</v>
      </c>
      <c r="D163" s="1" t="s">
        <v>14</v>
      </c>
      <c r="E163" s="1" t="s">
        <v>101</v>
      </c>
      <c r="F163" s="9">
        <v>230</v>
      </c>
      <c r="G163" s="1" t="s">
        <v>11</v>
      </c>
      <c r="H163" s="1" t="str">
        <f>TEXT(A163,"mmm-yyyy")</f>
        <v>Jun-2026</v>
      </c>
      <c r="I163" s="9">
        <f>SUMIFS($F$2:F171,$C$2:C171,"Income")-SUMIFS($F$2:F171,$C$2:C171,"Expense")</f>
        <v>1735</v>
      </c>
      <c r="J163" s="8" t="str">
        <f>IF(C163="Income","-",IFERROR(VLOOKUP(D163,Budget!$A$2:$F$12,6,FALSE),"-"))</f>
        <v>Within Budget</v>
      </c>
    </row>
    <row r="164" spans="1:10" x14ac:dyDescent="0.3">
      <c r="A164" s="3">
        <v>46196</v>
      </c>
      <c r="B164" s="1" t="s">
        <v>334</v>
      </c>
      <c r="C164" s="1" t="s">
        <v>13</v>
      </c>
      <c r="D164" s="1" t="s">
        <v>23</v>
      </c>
      <c r="E164" s="1" t="s">
        <v>335</v>
      </c>
      <c r="F164" s="9">
        <v>110</v>
      </c>
      <c r="G164" s="1" t="s">
        <v>19</v>
      </c>
      <c r="H164" s="1" t="str">
        <f>TEXT(A164,"mmm-yyyy")</f>
        <v>Jun-2026</v>
      </c>
      <c r="I164" s="9">
        <f>SUMIFS($F$2:F171,$C$2:C171,"Income")-SUMIFS($F$2:F171,$C$2:C171,"Expense")</f>
        <v>1735</v>
      </c>
      <c r="J164" s="8" t="str">
        <f>IF(C164="Income","-",IFERROR(VLOOKUP(D164,Budget!$A$2:$F$12,6,FALSE),"-"))</f>
        <v>Within Budget</v>
      </c>
    </row>
    <row r="165" spans="1:10" x14ac:dyDescent="0.3">
      <c r="A165" s="3">
        <v>46197</v>
      </c>
      <c r="B165" s="1" t="s">
        <v>336</v>
      </c>
      <c r="C165" s="1" t="s">
        <v>13</v>
      </c>
      <c r="D165" s="1" t="s">
        <v>41</v>
      </c>
      <c r="E165" s="1" t="s">
        <v>337</v>
      </c>
      <c r="F165" s="9">
        <v>199</v>
      </c>
      <c r="G165" s="1" t="s">
        <v>11</v>
      </c>
      <c r="H165" s="1" t="str">
        <f>TEXT(A165,"mmm-yyyy")</f>
        <v>Jun-2026</v>
      </c>
      <c r="I165" s="9">
        <f>SUMIFS($F$2:F171,$C$2:C171,"Income")-SUMIFS($F$2:F171,$C$2:C171,"Expense")</f>
        <v>1735</v>
      </c>
      <c r="J165" s="8" t="str">
        <f>IF(C165="Income","-",IFERROR(VLOOKUP(D165,Budget!$A$2:$F$12,6,FALSE),"-"))</f>
        <v>Within Budget</v>
      </c>
    </row>
    <row r="166" spans="1:10" x14ac:dyDescent="0.3">
      <c r="A166" s="3">
        <v>46198</v>
      </c>
      <c r="B166" s="1" t="s">
        <v>338</v>
      </c>
      <c r="C166" s="1" t="s">
        <v>8</v>
      </c>
      <c r="D166" s="1" t="s">
        <v>67</v>
      </c>
      <c r="E166" s="1" t="s">
        <v>339</v>
      </c>
      <c r="F166" s="9">
        <v>45</v>
      </c>
      <c r="G166" s="1" t="s">
        <v>69</v>
      </c>
      <c r="H166" s="1" t="str">
        <f>TEXT(A166,"mmm-yyyy")</f>
        <v>Jun-2026</v>
      </c>
      <c r="I166" s="9">
        <f>SUMIFS($F$2:F171,$C$2:C171,"Income")-SUMIFS($F$2:F171,$C$2:C171,"Expense")</f>
        <v>1735</v>
      </c>
      <c r="J166" s="8" t="str">
        <f>IF(C166="Income","-",IFERROR(VLOOKUP(D166,Budget!$A$2:$F$12,6,FALSE),"-"))</f>
        <v>-</v>
      </c>
    </row>
    <row r="167" spans="1:10" x14ac:dyDescent="0.3">
      <c r="A167" s="3">
        <v>46199</v>
      </c>
      <c r="B167" s="1" t="s">
        <v>340</v>
      </c>
      <c r="C167" s="1" t="s">
        <v>13</v>
      </c>
      <c r="D167" s="1" t="s">
        <v>17</v>
      </c>
      <c r="E167" s="1" t="s">
        <v>18</v>
      </c>
      <c r="F167" s="9">
        <v>40</v>
      </c>
      <c r="G167" s="1" t="s">
        <v>19</v>
      </c>
      <c r="H167" s="1" t="str">
        <f>TEXT(A167,"mmm-yyyy")</f>
        <v>Jun-2026</v>
      </c>
      <c r="I167" s="9">
        <f>SUMIFS($F$2:F171,$C$2:C171,"Income")-SUMIFS($F$2:F171,$C$2:C171,"Expense")</f>
        <v>1735</v>
      </c>
      <c r="J167" s="8" t="str">
        <f>IF(C167="Income","-",IFERROR(VLOOKUP(D167,Budget!$A$2:$F$12,6,FALSE),"-"))</f>
        <v>Within Budget</v>
      </c>
    </row>
    <row r="168" spans="1:10" x14ac:dyDescent="0.3">
      <c r="A168" s="3">
        <v>46200</v>
      </c>
      <c r="B168" s="1" t="s">
        <v>341</v>
      </c>
      <c r="C168" s="1" t="s">
        <v>13</v>
      </c>
      <c r="D168" s="1" t="s">
        <v>14</v>
      </c>
      <c r="E168" s="1" t="s">
        <v>342</v>
      </c>
      <c r="F168" s="9">
        <v>105</v>
      </c>
      <c r="G168" s="1" t="s">
        <v>11</v>
      </c>
      <c r="H168" s="1" t="str">
        <f>TEXT(A168,"mmm-yyyy")</f>
        <v>Jun-2026</v>
      </c>
      <c r="I168" s="9">
        <f>SUMIFS($F$2:F171,$C$2:C171,"Income")-SUMIFS($F$2:F171,$C$2:C171,"Expense")</f>
        <v>1735</v>
      </c>
      <c r="J168" s="8" t="str">
        <f>IF(C168="Income","-",IFERROR(VLOOKUP(D168,Budget!$A$2:$F$12,6,FALSE),"-"))</f>
        <v>Within Budget</v>
      </c>
    </row>
    <row r="169" spans="1:10" x14ac:dyDescent="0.3">
      <c r="A169" s="3">
        <v>46201</v>
      </c>
      <c r="B169" s="1" t="s">
        <v>343</v>
      </c>
      <c r="C169" s="1" t="s">
        <v>13</v>
      </c>
      <c r="D169" s="1" t="s">
        <v>26</v>
      </c>
      <c r="E169" s="1" t="s">
        <v>344</v>
      </c>
      <c r="F169" s="9">
        <v>240</v>
      </c>
      <c r="G169" s="1" t="s">
        <v>11</v>
      </c>
      <c r="H169" s="1" t="str">
        <f>TEXT(A169,"mmm-yyyy")</f>
        <v>Jun-2026</v>
      </c>
      <c r="I169" s="9">
        <f>SUMIFS($F$2:F171,$C$2:C171,"Income")-SUMIFS($F$2:F171,$C$2:C171,"Expense")</f>
        <v>1735</v>
      </c>
      <c r="J169" s="8" t="str">
        <f>IF(C169="Income","-",IFERROR(VLOOKUP(D169,Budget!$A$2:$F$12,6,FALSE),"-"))</f>
        <v>Near Limit</v>
      </c>
    </row>
    <row r="170" spans="1:10" x14ac:dyDescent="0.3">
      <c r="A170" s="3">
        <v>46202</v>
      </c>
      <c r="B170" s="1" t="s">
        <v>345</v>
      </c>
      <c r="C170" s="1" t="s">
        <v>13</v>
      </c>
      <c r="D170" s="1" t="s">
        <v>132</v>
      </c>
      <c r="E170" s="1" t="s">
        <v>346</v>
      </c>
      <c r="F170" s="9">
        <v>300</v>
      </c>
      <c r="G170" s="1" t="s">
        <v>11</v>
      </c>
      <c r="H170" s="1" t="str">
        <f>TEXT(A170,"mmm-yyyy")</f>
        <v>Jun-2026</v>
      </c>
      <c r="I170" s="9">
        <f>SUMIFS($F$2:F171,$C$2:C171,"Income")-SUMIFS($F$2:F171,$C$2:C171,"Expense")</f>
        <v>1735</v>
      </c>
      <c r="J170" s="8" t="str">
        <f>IF(C170="Income","-",IFERROR(VLOOKUP(D170,Budget!$A$2:$F$12,6,FALSE),"-"))</f>
        <v>Within Budget</v>
      </c>
    </row>
    <row r="171" spans="1:10" x14ac:dyDescent="0.3">
      <c r="A171" s="3">
        <v>46203</v>
      </c>
      <c r="B171" s="1" t="s">
        <v>347</v>
      </c>
      <c r="C171" s="1" t="s">
        <v>13</v>
      </c>
      <c r="D171" s="1" t="s">
        <v>14</v>
      </c>
      <c r="E171" s="1" t="s">
        <v>348</v>
      </c>
      <c r="F171" s="9">
        <v>280</v>
      </c>
      <c r="G171" s="1" t="s">
        <v>11</v>
      </c>
      <c r="H171" s="1" t="str">
        <f>TEXT(A171,"mmm-yyyy")</f>
        <v>Jun-2026</v>
      </c>
      <c r="I171" s="9">
        <f>SUMIFS($F$2:F171,$C$2:C171,"Income")-SUMIFS($F$2:F171,$C$2:C171,"Expense")</f>
        <v>1735</v>
      </c>
      <c r="J171" s="8" t="str">
        <f>IF(C171="Income","-",IFERROR(VLOOKUP(D171,Budget!$A$2:$F$12,6,FALSE),"-"))</f>
        <v>Within Budget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I10" sqref="I10"/>
    </sheetView>
  </sheetViews>
  <sheetFormatPr defaultColWidth="9.109375" defaultRowHeight="14.4" x14ac:dyDescent="0.3"/>
  <cols>
    <col min="1" max="1" width="12.6640625" style="1" bestFit="1" customWidth="1"/>
    <col min="2" max="2" width="14.77734375" style="1" bestFit="1" customWidth="1"/>
    <col min="3" max="3" width="15.21875" style="1" bestFit="1" customWidth="1"/>
    <col min="4" max="4" width="16.88671875" style="1" bestFit="1" customWidth="1"/>
    <col min="5" max="5" width="15.88671875" style="1" bestFit="1" customWidth="1"/>
    <col min="6" max="6" width="13.109375" style="1" bestFit="1" customWidth="1"/>
    <col min="7" max="16384" width="9.109375" style="1"/>
  </cols>
  <sheetData>
    <row r="1" spans="1:6" ht="24" customHeight="1" x14ac:dyDescent="0.3">
      <c r="A1" s="10" t="s">
        <v>3</v>
      </c>
      <c r="B1" s="10" t="s">
        <v>134</v>
      </c>
      <c r="C1" s="11" t="s">
        <v>135</v>
      </c>
      <c r="D1" s="11" t="s">
        <v>136</v>
      </c>
      <c r="E1" s="10" t="s">
        <v>129</v>
      </c>
      <c r="F1" s="10" t="s">
        <v>130</v>
      </c>
    </row>
    <row r="2" spans="1:6" x14ac:dyDescent="0.3">
      <c r="A2" s="1" t="s">
        <v>14</v>
      </c>
      <c r="B2" s="9">
        <v>1800</v>
      </c>
      <c r="C2" s="9">
        <f>SUMIFS(Transactions!$F:$F,Transactions!$D:$D,$A2,Transactions!$C:$C,"Expense",Transactions!$A:$A,"&gt;="&amp;Dashboard!$B$2,Transactions!$A:$A,"&lt;"&amp;EDATE(Dashboard!$B$2,1))</f>
        <v>1285</v>
      </c>
      <c r="D2" s="9">
        <f>B2-C2</f>
        <v>515</v>
      </c>
      <c r="E2" s="13">
        <f>IFERROR(C2/B2,0)</f>
        <v>0.71388888888888891</v>
      </c>
      <c r="F2" s="1" t="str">
        <f>IF(C2&gt;B2,"Over Budget",IF(C2&gt;=B2*0.8,"Near Limit","Within Budget"))</f>
        <v>Within Budget</v>
      </c>
    </row>
    <row r="3" spans="1:6" x14ac:dyDescent="0.3">
      <c r="A3" s="1" t="s">
        <v>17</v>
      </c>
      <c r="B3" s="9">
        <v>800</v>
      </c>
      <c r="C3" s="9">
        <f>SUMIFS(Transactions!$F:$F,Transactions!$D:$D,$A3,Transactions!$C:$C,"Expense",Transactions!$A:$A,"&gt;="&amp;Dashboard!$B$2,Transactions!$A:$A,"&lt;"&amp;EDATE(Dashboard!$B$2,1))</f>
        <v>390</v>
      </c>
      <c r="D3" s="9">
        <f>B3-C3</f>
        <v>410</v>
      </c>
      <c r="E3" s="13">
        <f>IFERROR(C3/B3,0)</f>
        <v>0.48749999999999999</v>
      </c>
      <c r="F3" s="1" t="str">
        <f>IF(C3&gt;B3,"Over Budget",IF(C3&gt;=B3*0.8,"Near Limit","Within Budget"))</f>
        <v>Within Budget</v>
      </c>
    </row>
    <row r="4" spans="1:6" x14ac:dyDescent="0.3">
      <c r="A4" s="1" t="s">
        <v>23</v>
      </c>
      <c r="B4" s="9">
        <v>500</v>
      </c>
      <c r="C4" s="9">
        <f>SUMIFS(Transactions!$F:$F,Transactions!$D:$D,$A4,Transactions!$C:$C,"Expense",Transactions!$A:$A,"&gt;="&amp;Dashboard!$B$2,Transactions!$A:$A,"&lt;"&amp;EDATE(Dashboard!$B$2,1))</f>
        <v>180</v>
      </c>
      <c r="D4" s="9">
        <f>B4-C4</f>
        <v>320</v>
      </c>
      <c r="E4" s="13">
        <f>IFERROR(C4/B4,0)</f>
        <v>0.36</v>
      </c>
      <c r="F4" s="1" t="str">
        <f>IF(C4&gt;B4,"Over Budget",IF(C4&gt;=B4*0.8,"Near Limit","Within Budget"))</f>
        <v>Within Budget</v>
      </c>
    </row>
    <row r="5" spans="1:6" x14ac:dyDescent="0.3">
      <c r="A5" s="1" t="s">
        <v>49</v>
      </c>
      <c r="B5" s="9">
        <v>600</v>
      </c>
      <c r="C5" s="9">
        <f>SUMIFS(Transactions!$F:$F,Transactions!$D:$D,$A5,Transactions!$C:$C,"Expense",Transactions!$A:$A,"&gt;="&amp;Dashboard!$B$2,Transactions!$A:$A,"&lt;"&amp;EDATE(Dashboard!$B$2,1))</f>
        <v>255</v>
      </c>
      <c r="D5" s="9">
        <f>B5-C5</f>
        <v>345</v>
      </c>
      <c r="E5" s="13">
        <f>IFERROR(C5/B5,0)</f>
        <v>0.42499999999999999</v>
      </c>
      <c r="F5" s="1" t="str">
        <f>IF(C5&gt;B5,"Over Budget",IF(C5&gt;=B5*0.8,"Near Limit","Within Budget"))</f>
        <v>Within Budget</v>
      </c>
    </row>
    <row r="6" spans="1:6" x14ac:dyDescent="0.3">
      <c r="A6" s="1" t="s">
        <v>26</v>
      </c>
      <c r="B6" s="9">
        <v>700</v>
      </c>
      <c r="C6" s="9">
        <f>SUMIFS(Transactions!$F:$F,Transactions!$D:$D,$A6,Transactions!$C:$C,"Expense",Transactions!$A:$A,"&gt;="&amp;Dashboard!$B$2,Transactions!$A:$A,"&lt;"&amp;EDATE(Dashboard!$B$2,1))</f>
        <v>568</v>
      </c>
      <c r="D6" s="9">
        <f>B6-C6</f>
        <v>132</v>
      </c>
      <c r="E6" s="13">
        <f>IFERROR(C6/B6,0)</f>
        <v>0.81142857142857139</v>
      </c>
      <c r="F6" s="1" t="str">
        <f>IF(C6&gt;B6,"Over Budget",IF(C6&gt;=B6*0.8,"Near Limit","Within Budget"))</f>
        <v>Near Limit</v>
      </c>
    </row>
    <row r="7" spans="1:6" x14ac:dyDescent="0.3">
      <c r="A7" s="1" t="s">
        <v>36</v>
      </c>
      <c r="B7" s="9">
        <v>300</v>
      </c>
      <c r="C7" s="9">
        <f>SUMIFS(Transactions!$F:$F,Transactions!$D:$D,$A7,Transactions!$C:$C,"Expense",Transactions!$A:$A,"&gt;="&amp;Dashboard!$B$2,Transactions!$A:$A,"&lt;"&amp;EDATE(Dashboard!$B$2,1))</f>
        <v>239</v>
      </c>
      <c r="D7" s="9">
        <f>B7-C7</f>
        <v>61</v>
      </c>
      <c r="E7" s="13">
        <f>IFERROR(C7/B7,0)</f>
        <v>0.79666666666666663</v>
      </c>
      <c r="F7" s="1" t="str">
        <f>IF(C7&gt;B7,"Over Budget",IF(C7&gt;=B7*0.8,"Near Limit","Within Budget"))</f>
        <v>Within Budget</v>
      </c>
    </row>
    <row r="8" spans="1:6" x14ac:dyDescent="0.3">
      <c r="A8" s="1" t="s">
        <v>41</v>
      </c>
      <c r="B8" s="9">
        <v>1000</v>
      </c>
      <c r="C8" s="9">
        <f>SUMIFS(Transactions!$F:$F,Transactions!$D:$D,$A8,Transactions!$C:$C,"Expense",Transactions!$A:$A,"&gt;="&amp;Dashboard!$B$2,Transactions!$A:$A,"&lt;"&amp;EDATE(Dashboard!$B$2,1))</f>
        <v>750</v>
      </c>
      <c r="D8" s="9">
        <f>B8-C8</f>
        <v>250</v>
      </c>
      <c r="E8" s="13">
        <f>IFERROR(C8/B8,0)</f>
        <v>0.75</v>
      </c>
      <c r="F8" s="1" t="str">
        <f>IF(C8&gt;B8,"Over Budget",IF(C8&gt;=B8*0.8,"Near Limit","Within Budget"))</f>
        <v>Within Budget</v>
      </c>
    </row>
    <row r="9" spans="1:6" x14ac:dyDescent="0.3">
      <c r="A9" s="1" t="s">
        <v>58</v>
      </c>
      <c r="B9" s="9">
        <v>400</v>
      </c>
      <c r="C9" s="9">
        <f>SUMIFS(Transactions!$F:$F,Transactions!$D:$D,$A9,Transactions!$C:$C,"Expense",Transactions!$A:$A,"&gt;="&amp;Dashboard!$B$2,Transactions!$A:$A,"&lt;"&amp;EDATE(Dashboard!$B$2,1))</f>
        <v>220</v>
      </c>
      <c r="D9" s="9">
        <f>B9-C9</f>
        <v>180</v>
      </c>
      <c r="E9" s="13">
        <f>IFERROR(C9/B9,0)</f>
        <v>0.55000000000000004</v>
      </c>
      <c r="F9" s="1" t="str">
        <f>IF(C9&gt;B9,"Over Budget",IF(C9&gt;=B9*0.8,"Near Limit","Within Budget"))</f>
        <v>Within Budget</v>
      </c>
    </row>
    <row r="10" spans="1:6" x14ac:dyDescent="0.3">
      <c r="A10" s="1" t="s">
        <v>131</v>
      </c>
      <c r="B10" s="9">
        <v>300</v>
      </c>
      <c r="C10" s="9">
        <f>SUMIFS(Transactions!$F:$F,Transactions!$D:$D,$A10,Transactions!$C:$C,"Expense",Transactions!$A:$A,"&gt;="&amp;Dashboard!$B$2,Transactions!$A:$A,"&lt;"&amp;EDATE(Dashboard!$B$2,1))</f>
        <v>0</v>
      </c>
      <c r="D10" s="9">
        <f>B10-C10</f>
        <v>300</v>
      </c>
      <c r="E10" s="13">
        <f>IFERROR(C10/B10,0)</f>
        <v>0</v>
      </c>
      <c r="F10" s="1" t="str">
        <f>IF(C10&gt;B10,"Over Budget",IF(C10&gt;=B10*0.8,"Near Limit","Within Budget"))</f>
        <v>Within Budget</v>
      </c>
    </row>
    <row r="11" spans="1:6" x14ac:dyDescent="0.3">
      <c r="A11" s="1" t="s">
        <v>132</v>
      </c>
      <c r="B11" s="9">
        <v>300</v>
      </c>
      <c r="C11" s="9">
        <f>SUMIFS(Transactions!$F:$F,Transactions!$D:$D,$A11,Transactions!$C:$C,"Expense",Transactions!$A:$A,"&gt;="&amp;Dashboard!$B$2,Transactions!$A:$A,"&lt;"&amp;EDATE(Dashboard!$B$2,1))</f>
        <v>0</v>
      </c>
      <c r="D11" s="9">
        <f>B11-C11</f>
        <v>300</v>
      </c>
      <c r="E11" s="13">
        <f>IFERROR(C11/B11,0)</f>
        <v>0</v>
      </c>
      <c r="F11" s="1" t="str">
        <f>IF(C11&gt;B11,"Over Budget",IF(C11&gt;=B11*0.8,"Near Limit","Within Budget"))</f>
        <v>Within Budget</v>
      </c>
    </row>
    <row r="12" spans="1:6" x14ac:dyDescent="0.3">
      <c r="A12" s="1" t="s">
        <v>133</v>
      </c>
      <c r="B12" s="9">
        <v>300</v>
      </c>
      <c r="C12" s="9">
        <f>SUMIFS(Transactions!$F:$F,Transactions!$D:$D,$A12,Transactions!$C:$C,"Expense",Transactions!$A:$A,"&gt;="&amp;Dashboard!$B$2,Transactions!$A:$A,"&lt;"&amp;EDATE(Dashboard!$B$2,1))</f>
        <v>0</v>
      </c>
      <c r="D12" s="9">
        <f>B12-C12</f>
        <v>300</v>
      </c>
      <c r="E12" s="13">
        <f>IFERROR(C12/B12,0)</f>
        <v>0</v>
      </c>
      <c r="F12" s="1" t="str">
        <f>IF(C12&gt;B12,"Over Budget",IF(C12&gt;=B12*0.8,"Near Limit","Within Budget"))</f>
        <v>Within Budget</v>
      </c>
    </row>
    <row r="13" spans="1:6" x14ac:dyDescent="0.3">
      <c r="A13" s="14" t="s">
        <v>349</v>
      </c>
      <c r="B13" s="15">
        <f>SUM(B2:B12)</f>
        <v>7000</v>
      </c>
      <c r="C13" s="15">
        <f>SUM(C2:C12)</f>
        <v>3887</v>
      </c>
      <c r="D13" s="15">
        <f>B13-C13</f>
        <v>3113</v>
      </c>
      <c r="E13" s="16">
        <f>IFERROR(C13/B13,0)</f>
        <v>0.55528571428571427</v>
      </c>
      <c r="F13" s="14" t="str">
        <f>IF(C13&gt;B13,"Over Budget",IF(C13&gt;=B13*0.8,"Near Limit","Within Budget"))</f>
        <v>Within Budget</v>
      </c>
    </row>
  </sheetData>
  <conditionalFormatting sqref="F2:F12">
    <cfRule type="cellIs" dxfId="5" priority="1" stopIfTrue="1" operator="equal">
      <formula>"Within Budget"</formula>
    </cfRule>
    <cfRule type="cellIs" dxfId="4" priority="2" stopIfTrue="1" operator="equal">
      <formula>"Near Limit"</formula>
    </cfRule>
    <cfRule type="cellIs" dxfId="3" priority="3" stopIfTrue="1" operator="equal">
      <formula>"Over Budget"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"/>
  <sheetViews>
    <sheetView workbookViewId="0">
      <selection activeCell="I5" sqref="I5"/>
    </sheetView>
  </sheetViews>
  <sheetFormatPr defaultRowHeight="14.4" x14ac:dyDescent="0.3"/>
  <cols>
    <col min="1" max="1" width="14" style="5" bestFit="1" customWidth="1"/>
    <col min="2" max="2" width="12" style="5" bestFit="1" customWidth="1"/>
    <col min="3" max="3" width="13.44140625" style="5" bestFit="1" customWidth="1"/>
    <col min="4" max="4" width="10.77734375" style="5" bestFit="1" customWidth="1"/>
    <col min="5" max="5" width="11.5546875" style="5" bestFit="1" customWidth="1"/>
    <col min="6" max="6" width="16.44140625" style="5" bestFit="1" customWidth="1"/>
    <col min="7" max="7" width="14.77734375" style="6" bestFit="1" customWidth="1"/>
    <col min="8" max="16384" width="8.88671875" style="5"/>
  </cols>
  <sheetData>
    <row r="1" spans="1:7" ht="24" customHeight="1" x14ac:dyDescent="0.3">
      <c r="A1" s="25" t="s">
        <v>126</v>
      </c>
      <c r="B1" s="25" t="s">
        <v>137</v>
      </c>
      <c r="C1" s="10" t="s">
        <v>138</v>
      </c>
      <c r="D1" s="10" t="s">
        <v>139</v>
      </c>
      <c r="E1" s="25" t="s">
        <v>140</v>
      </c>
      <c r="F1" s="10" t="s">
        <v>141</v>
      </c>
      <c r="G1" s="26" t="s">
        <v>142</v>
      </c>
    </row>
    <row r="2" spans="1:7" x14ac:dyDescent="0.3">
      <c r="A2" s="17">
        <v>46023</v>
      </c>
      <c r="B2" s="18">
        <f>SUMIFS(Transactions!$F:$F,Transactions!$C:$C,"Income",Transactions!$A:$A,"&gt;="&amp;$A2,Transactions!$A:$A,"&lt;"&amp;EDATE($A2,1))</f>
        <v>4035</v>
      </c>
      <c r="C2" s="18">
        <f>SUMIFS(Transactions!$F:$F,Transactions!$C:$C,"Expense",Transactions!$A:$A,"&gt;="&amp;$A2,Transactions!$A:$A,"&lt;"&amp;EDATE($A2,1))</f>
        <v>3887</v>
      </c>
      <c r="D2" s="18">
        <f>B2-C2</f>
        <v>148</v>
      </c>
      <c r="E2" s="19">
        <f>IFERROR(D2/B2,0)</f>
        <v>3.667905824039653E-2</v>
      </c>
      <c r="F2" s="5">
        <f>COUNTIFS(Transactions!$A:$A,"&gt;="&amp;$A2,Transactions!$A:$A,"&lt;"&amp;EDATE($A2,1))</f>
        <v>30</v>
      </c>
      <c r="G2" s="20">
        <v>0</v>
      </c>
    </row>
    <row r="3" spans="1:7" x14ac:dyDescent="0.3">
      <c r="A3" s="17">
        <f>EDATE(A2,1)</f>
        <v>46054</v>
      </c>
      <c r="B3" s="18">
        <f>SUMIFS(Transactions!$F:$F,Transactions!$C:$C,"Income",Transactions!$A:$A,"&gt;="&amp;$A3,Transactions!$A:$A,"&lt;"&amp;EDATE($A3,1))</f>
        <v>4000</v>
      </c>
      <c r="C3" s="18">
        <f>SUMIFS(Transactions!$F:$F,Transactions!$C:$C,"Expense",Transactions!$A:$A,"&gt;="&amp;$A3,Transactions!$A:$A,"&lt;"&amp;EDATE($A3,1))</f>
        <v>3489</v>
      </c>
      <c r="D3" s="18">
        <f>B3-C3</f>
        <v>511</v>
      </c>
      <c r="E3" s="19">
        <f>IFERROR(D3/B3,0)</f>
        <v>0.12775</v>
      </c>
      <c r="F3" s="5">
        <f>COUNTIFS(Transactions!$A:$A,"&gt;="&amp;$A3,Transactions!$A:$A,"&lt;"&amp;EDATE($A3,1))</f>
        <v>20</v>
      </c>
      <c r="G3" s="20">
        <f>IF(OR(C3=0,C2=0),0,IFERROR((C3-C2)/C2,0))</f>
        <v>-0.10239259068690507</v>
      </c>
    </row>
    <row r="4" spans="1:7" x14ac:dyDescent="0.3">
      <c r="A4" s="17">
        <f>EDATE(A3,1)</f>
        <v>46082</v>
      </c>
      <c r="B4" s="18">
        <f>SUMIFS(Transactions!$F:$F,Transactions!$C:$C,"Income",Transactions!$A:$A,"&gt;="&amp;$A4,Transactions!$A:$A,"&lt;"&amp;EDATE($A4,1))</f>
        <v>4342</v>
      </c>
      <c r="C4" s="18">
        <f>SUMIFS(Transactions!$F:$F,Transactions!$C:$C,"Expense",Transactions!$A:$A,"&gt;="&amp;$A4,Transactions!$A:$A,"&lt;"&amp;EDATE($A4,1))</f>
        <v>4253</v>
      </c>
      <c r="D4" s="18">
        <f>B4-C4</f>
        <v>89</v>
      </c>
      <c r="E4" s="19">
        <f>IFERROR(D4/B4,0)</f>
        <v>2.0497466605251036E-2</v>
      </c>
      <c r="F4" s="5">
        <f>COUNTIFS(Transactions!$A:$A,"&gt;="&amp;$A4,Transactions!$A:$A,"&lt;"&amp;EDATE($A4,1))</f>
        <v>30</v>
      </c>
      <c r="G4" s="20">
        <f>IF(OR(C4=0,C3=0),0,IFERROR((C4-C3)/C3,0))</f>
        <v>0.21897391802808827</v>
      </c>
    </row>
    <row r="5" spans="1:7" x14ac:dyDescent="0.3">
      <c r="A5" s="17">
        <f>EDATE(A4,1)</f>
        <v>46113</v>
      </c>
      <c r="B5" s="18">
        <f>SUMIFS(Transactions!$F:$F,Transactions!$C:$C,"Income",Transactions!$A:$A,"&gt;="&amp;$A5,Transactions!$A:$A,"&lt;"&amp;EDATE($A5,1))</f>
        <v>5000</v>
      </c>
      <c r="C5" s="18">
        <f>SUMIFS(Transactions!$F:$F,Transactions!$C:$C,"Expense",Transactions!$A:$A,"&gt;="&amp;$A5,Transactions!$A:$A,"&lt;"&amp;EDATE($A5,1))</f>
        <v>4570</v>
      </c>
      <c r="D5" s="18">
        <f>B5-C5</f>
        <v>430</v>
      </c>
      <c r="E5" s="19">
        <f>IFERROR(D5/B5,0)</f>
        <v>8.5999999999999993E-2</v>
      </c>
      <c r="F5" s="5">
        <f>COUNTIFS(Transactions!$A:$A,"&gt;="&amp;$A5,Transactions!$A:$A,"&lt;"&amp;EDATE($A5,1))</f>
        <v>30</v>
      </c>
      <c r="G5" s="20">
        <f>IF(OR(C5=0,C4=0),0,IFERROR((C5-C4)/C4,0))</f>
        <v>7.4535621913943098E-2</v>
      </c>
    </row>
    <row r="6" spans="1:7" x14ac:dyDescent="0.3">
      <c r="A6" s="17">
        <f>EDATE(A5,1)</f>
        <v>46143</v>
      </c>
      <c r="B6" s="18">
        <f>SUMIFS(Transactions!$F:$F,Transactions!$C:$C,"Income",Transactions!$A:$A,"&gt;="&amp;$A6,Transactions!$A:$A,"&lt;"&amp;EDATE($A6,1))</f>
        <v>5238</v>
      </c>
      <c r="C6" s="18">
        <f>SUMIFS(Transactions!$F:$F,Transactions!$C:$C,"Expense",Transactions!$A:$A,"&gt;="&amp;$A6,Transactions!$A:$A,"&lt;"&amp;EDATE($A6,1))</f>
        <v>5524</v>
      </c>
      <c r="D6" s="18">
        <f>B6-C6</f>
        <v>-286</v>
      </c>
      <c r="E6" s="19">
        <f>IFERROR(D6/B6,0)</f>
        <v>-5.4600992745322645E-2</v>
      </c>
      <c r="F6" s="5">
        <f>COUNTIFS(Transactions!$A:$A,"&gt;="&amp;$A6,Transactions!$A:$A,"&lt;"&amp;EDATE($A6,1))</f>
        <v>30</v>
      </c>
      <c r="G6" s="20">
        <f>IF(OR(C6=0,C5=0),0,IFERROR((C6-C5)/C5,0))</f>
        <v>0.20875273522975929</v>
      </c>
    </row>
    <row r="7" spans="1:7" x14ac:dyDescent="0.3">
      <c r="A7" s="17">
        <f>EDATE(A6,1)</f>
        <v>46174</v>
      </c>
      <c r="B7" s="18">
        <f>SUMIFS(Transactions!$F:$F,Transactions!$C:$C,"Income",Transactions!$A:$A,"&gt;="&amp;$A7,Transactions!$A:$A,"&lt;"&amp;EDATE($A7,1))</f>
        <v>6045</v>
      </c>
      <c r="C7" s="18">
        <f>SUMIFS(Transactions!$F:$F,Transactions!$C:$C,"Expense",Transactions!$A:$A,"&gt;="&amp;$A7,Transactions!$A:$A,"&lt;"&amp;EDATE($A7,1))</f>
        <v>5202</v>
      </c>
      <c r="D7" s="18">
        <f>B7-C7</f>
        <v>843</v>
      </c>
      <c r="E7" s="19">
        <f>IFERROR(D7/B7,0)</f>
        <v>0.13945409429280398</v>
      </c>
      <c r="F7" s="5">
        <f>COUNTIFS(Transactions!$A:$A,"&gt;="&amp;$A7,Transactions!$A:$A,"&lt;"&amp;EDATE($A7,1))</f>
        <v>30</v>
      </c>
      <c r="G7" s="20">
        <f>IF(OR(C7=0,C6=0),0,IFERROR((C7-C6)/C6,0))</f>
        <v>-5.8291093410572051E-2</v>
      </c>
    </row>
    <row r="8" spans="1:7" x14ac:dyDescent="0.3">
      <c r="A8" s="17">
        <f>EDATE(A7,1)</f>
        <v>46204</v>
      </c>
      <c r="B8" s="18">
        <f>SUMIFS(Transactions!$F:$F,Transactions!$C:$C,"Income",Transactions!$A:$A,"&gt;="&amp;$A8,Transactions!$A:$A,"&lt;"&amp;EDATE($A8,1))</f>
        <v>0</v>
      </c>
      <c r="C8" s="18">
        <f>SUMIFS(Transactions!$F:$F,Transactions!$C:$C,"Expense",Transactions!$A:$A,"&gt;="&amp;$A8,Transactions!$A:$A,"&lt;"&amp;EDATE($A8,1))</f>
        <v>0</v>
      </c>
      <c r="D8" s="18">
        <f>B8-C8</f>
        <v>0</v>
      </c>
      <c r="E8" s="19">
        <f>IFERROR(D8/B8,0)</f>
        <v>0</v>
      </c>
      <c r="F8" s="5">
        <f>COUNTIFS(Transactions!$A:$A,"&gt;="&amp;$A8,Transactions!$A:$A,"&lt;"&amp;EDATE($A8,1))</f>
        <v>0</v>
      </c>
      <c r="G8" s="20">
        <f>IF(OR(C8=0,C7=0),0,IFERROR((C8-C7)/C7,0))</f>
        <v>0</v>
      </c>
    </row>
    <row r="9" spans="1:7" x14ac:dyDescent="0.3">
      <c r="A9" s="17">
        <f>EDATE(A8,1)</f>
        <v>46235</v>
      </c>
      <c r="B9" s="18">
        <f>SUMIFS(Transactions!$F:$F,Transactions!$C:$C,"Income",Transactions!$A:$A,"&gt;="&amp;$A9,Transactions!$A:$A,"&lt;"&amp;EDATE($A9,1))</f>
        <v>0</v>
      </c>
      <c r="C9" s="18">
        <f>SUMIFS(Transactions!$F:$F,Transactions!$C:$C,"Expense",Transactions!$A:$A,"&gt;="&amp;$A9,Transactions!$A:$A,"&lt;"&amp;EDATE($A9,1))</f>
        <v>0</v>
      </c>
      <c r="D9" s="18">
        <f>B9-C9</f>
        <v>0</v>
      </c>
      <c r="E9" s="19">
        <f>IFERROR(D9/B9,0)</f>
        <v>0</v>
      </c>
      <c r="F9" s="5">
        <f>COUNTIFS(Transactions!$A:$A,"&gt;="&amp;$A9,Transactions!$A:$A,"&lt;"&amp;EDATE($A9,1))</f>
        <v>0</v>
      </c>
      <c r="G9" s="20">
        <f>IF(OR(C9=0,C8=0),0,IFERROR((C9-C8)/C8,0))</f>
        <v>0</v>
      </c>
    </row>
    <row r="10" spans="1:7" x14ac:dyDescent="0.3">
      <c r="A10" s="17">
        <f>EDATE(A9,1)</f>
        <v>46266</v>
      </c>
      <c r="B10" s="18">
        <f>SUMIFS(Transactions!$F:$F,Transactions!$C:$C,"Income",Transactions!$A:$A,"&gt;="&amp;$A10,Transactions!$A:$A,"&lt;"&amp;EDATE($A10,1))</f>
        <v>0</v>
      </c>
      <c r="C10" s="18">
        <f>SUMIFS(Transactions!$F:$F,Transactions!$C:$C,"Expense",Transactions!$A:$A,"&gt;="&amp;$A10,Transactions!$A:$A,"&lt;"&amp;EDATE($A10,1))</f>
        <v>0</v>
      </c>
      <c r="D10" s="18">
        <f>B10-C10</f>
        <v>0</v>
      </c>
      <c r="E10" s="19">
        <f>IFERROR(D10/B10,0)</f>
        <v>0</v>
      </c>
      <c r="F10" s="5">
        <f>COUNTIFS(Transactions!$A:$A,"&gt;="&amp;$A10,Transactions!$A:$A,"&lt;"&amp;EDATE($A10,1))</f>
        <v>0</v>
      </c>
      <c r="G10" s="20">
        <f>IF(OR(C10=0,C9=0),0,IFERROR((C10-C9)/C9,0))</f>
        <v>0</v>
      </c>
    </row>
    <row r="11" spans="1:7" x14ac:dyDescent="0.3">
      <c r="A11" s="17">
        <f>EDATE(A10,1)</f>
        <v>46296</v>
      </c>
      <c r="B11" s="18">
        <f>SUMIFS(Transactions!$F:$F,Transactions!$C:$C,"Income",Transactions!$A:$A,"&gt;="&amp;$A11,Transactions!$A:$A,"&lt;"&amp;EDATE($A11,1))</f>
        <v>0</v>
      </c>
      <c r="C11" s="18">
        <f>SUMIFS(Transactions!$F:$F,Transactions!$C:$C,"Expense",Transactions!$A:$A,"&gt;="&amp;$A11,Transactions!$A:$A,"&lt;"&amp;EDATE($A11,1))</f>
        <v>0</v>
      </c>
      <c r="D11" s="18">
        <f>B11-C11</f>
        <v>0</v>
      </c>
      <c r="E11" s="19">
        <f>IFERROR(D11/B11,0)</f>
        <v>0</v>
      </c>
      <c r="F11" s="5">
        <f>COUNTIFS(Transactions!$A:$A,"&gt;="&amp;$A11,Transactions!$A:$A,"&lt;"&amp;EDATE($A11,1))</f>
        <v>0</v>
      </c>
      <c r="G11" s="20">
        <f>IF(OR(C11=0,C10=0),0,IFERROR((C11-C10)/C10,0))</f>
        <v>0</v>
      </c>
    </row>
    <row r="12" spans="1:7" x14ac:dyDescent="0.3">
      <c r="A12" s="17">
        <f>EDATE(A11,1)</f>
        <v>46327</v>
      </c>
      <c r="B12" s="18">
        <f>SUMIFS(Transactions!$F:$F,Transactions!$C:$C,"Income",Transactions!$A:$A,"&gt;="&amp;$A12,Transactions!$A:$A,"&lt;"&amp;EDATE($A12,1))</f>
        <v>0</v>
      </c>
      <c r="C12" s="18">
        <f>SUMIFS(Transactions!$F:$F,Transactions!$C:$C,"Expense",Transactions!$A:$A,"&gt;="&amp;$A12,Transactions!$A:$A,"&lt;"&amp;EDATE($A12,1))</f>
        <v>0</v>
      </c>
      <c r="D12" s="18">
        <f>B12-C12</f>
        <v>0</v>
      </c>
      <c r="E12" s="19">
        <f>IFERROR(D12/B12,0)</f>
        <v>0</v>
      </c>
      <c r="F12" s="5">
        <f>COUNTIFS(Transactions!$A:$A,"&gt;="&amp;$A12,Transactions!$A:$A,"&lt;"&amp;EDATE($A12,1))</f>
        <v>0</v>
      </c>
      <c r="G12" s="20">
        <f>IF(OR(C12=0,C11=0),0,IFERROR((C12-C11)/C11,0))</f>
        <v>0</v>
      </c>
    </row>
    <row r="13" spans="1:7" x14ac:dyDescent="0.3">
      <c r="A13" s="17">
        <f>EDATE(A12,1)</f>
        <v>46357</v>
      </c>
      <c r="B13" s="18">
        <f>SUMIFS(Transactions!$F:$F,Transactions!$C:$C,"Income",Transactions!$A:$A,"&gt;="&amp;$A13,Transactions!$A:$A,"&lt;"&amp;EDATE($A13,1))</f>
        <v>0</v>
      </c>
      <c r="C13" s="18">
        <f>SUMIFS(Transactions!$F:$F,Transactions!$C:$C,"Expense",Transactions!$A:$A,"&gt;="&amp;$A13,Transactions!$A:$A,"&lt;"&amp;EDATE($A13,1))</f>
        <v>0</v>
      </c>
      <c r="D13" s="18">
        <f>B13-C13</f>
        <v>0</v>
      </c>
      <c r="E13" s="19">
        <f>IFERROR(D13/B13,0)</f>
        <v>0</v>
      </c>
      <c r="F13" s="5">
        <f>COUNTIFS(Transactions!$A:$A,"&gt;="&amp;$A13,Transactions!$A:$A,"&lt;"&amp;EDATE($A13,1))</f>
        <v>0</v>
      </c>
      <c r="G13" s="20">
        <f>IF(OR(C13=0,C12=0),0,IFERROR((C13-C12)/C12,0))</f>
        <v>0</v>
      </c>
    </row>
    <row r="14" spans="1:7" x14ac:dyDescent="0.3">
      <c r="A14" s="21" t="s">
        <v>350</v>
      </c>
      <c r="B14" s="22">
        <f>SUM(B2:B13)</f>
        <v>28660</v>
      </c>
      <c r="C14" s="22">
        <f>SUM(C2:C13)</f>
        <v>26925</v>
      </c>
      <c r="D14" s="22">
        <f>SUM(D2:D13)</f>
        <v>1735</v>
      </c>
      <c r="E14" s="23">
        <f>IFERROR(D14/B14,0)</f>
        <v>6.0537334263782272E-2</v>
      </c>
      <c r="F14" s="21">
        <f>SUM(F2:F13)</f>
        <v>170</v>
      </c>
      <c r="G14" s="24" t="s">
        <v>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I30" sqref="I30"/>
    </sheetView>
  </sheetViews>
  <sheetFormatPr defaultRowHeight="14.4" x14ac:dyDescent="0.3"/>
  <cols>
    <col min="1" max="1" width="7" bestFit="1" customWidth="1"/>
    <col min="2" max="2" width="25.5546875" bestFit="1" customWidth="1"/>
    <col min="3" max="3" width="13.77734375" bestFit="1" customWidth="1"/>
    <col min="4" max="4" width="14.21875" bestFit="1" customWidth="1"/>
    <col min="5" max="5" width="12.88671875" bestFit="1" customWidth="1"/>
    <col min="6" max="6" width="14.5546875" bestFit="1" customWidth="1"/>
    <col min="7" max="7" width="11.88671875" bestFit="1" customWidth="1"/>
    <col min="8" max="8" width="16.109375" bestFit="1" customWidth="1"/>
    <col min="9" max="9" width="10" bestFit="1" customWidth="1"/>
    <col min="10" max="10" width="9.88671875" bestFit="1" customWidth="1"/>
  </cols>
  <sheetData>
    <row r="1" spans="1:10" ht="34.950000000000003" customHeight="1" x14ac:dyDescent="0.3">
      <c r="A1" s="27" t="s">
        <v>352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x14ac:dyDescent="0.3">
      <c r="B3" s="29" t="s">
        <v>353</v>
      </c>
      <c r="D3" s="29" t="s">
        <v>354</v>
      </c>
      <c r="F3" s="29" t="s">
        <v>355</v>
      </c>
      <c r="H3" s="29" t="s">
        <v>356</v>
      </c>
    </row>
    <row r="4" spans="1:10" ht="18" x14ac:dyDescent="0.35">
      <c r="B4" s="30">
        <f>SUM(D7:D11)</f>
        <v>17000</v>
      </c>
      <c r="D4" s="30">
        <f>SUM(E7:E11)</f>
        <v>10300</v>
      </c>
      <c r="F4" s="31">
        <f>IFERROR(D4/B4,0)</f>
        <v>0.60588235294117643</v>
      </c>
      <c r="H4" s="30">
        <f>B4-D4</f>
        <v>6700</v>
      </c>
    </row>
    <row r="6" spans="1:10" ht="24" customHeight="1" x14ac:dyDescent="0.3">
      <c r="A6" s="32" t="s">
        <v>357</v>
      </c>
      <c r="B6" s="32" t="s">
        <v>358</v>
      </c>
      <c r="C6" s="32" t="s">
        <v>3</v>
      </c>
      <c r="D6" s="32" t="s">
        <v>359</v>
      </c>
      <c r="E6" s="32" t="s">
        <v>360</v>
      </c>
      <c r="F6" s="32" t="s">
        <v>361</v>
      </c>
      <c r="G6" s="32" t="s">
        <v>362</v>
      </c>
      <c r="H6" s="32" t="s">
        <v>363</v>
      </c>
      <c r="I6" s="32" t="s">
        <v>364</v>
      </c>
      <c r="J6" s="32" t="s">
        <v>130</v>
      </c>
    </row>
    <row r="7" spans="1:10" x14ac:dyDescent="0.3">
      <c r="A7" s="33" t="s">
        <v>365</v>
      </c>
      <c r="B7" s="33" t="s">
        <v>366</v>
      </c>
      <c r="C7" s="33" t="s">
        <v>367</v>
      </c>
      <c r="D7" s="34">
        <v>5000</v>
      </c>
      <c r="E7" s="34">
        <v>3500</v>
      </c>
      <c r="F7" s="34">
        <v>500</v>
      </c>
      <c r="G7" s="35">
        <v>46203</v>
      </c>
      <c r="H7" s="36">
        <f>E7/D7</f>
        <v>0.7</v>
      </c>
      <c r="I7" s="34">
        <f>D7-E7</f>
        <v>1500</v>
      </c>
      <c r="J7" s="33" t="str">
        <f>IF(H7&gt;=1,"Achieved",IF(H7&gt;=0.7,"On Track",IF(H7&gt;=0.4,"In Progress","Needs Attention")))</f>
        <v>On Track</v>
      </c>
    </row>
    <row r="8" spans="1:10" x14ac:dyDescent="0.3">
      <c r="A8" s="33" t="s">
        <v>368</v>
      </c>
      <c r="B8" s="33" t="s">
        <v>369</v>
      </c>
      <c r="C8" s="33" t="s">
        <v>370</v>
      </c>
      <c r="D8" s="34">
        <v>3500</v>
      </c>
      <c r="E8" s="34">
        <v>2800</v>
      </c>
      <c r="F8" s="34">
        <v>700</v>
      </c>
      <c r="G8" s="35">
        <v>46127</v>
      </c>
      <c r="H8" s="36">
        <f>E8/D8</f>
        <v>0.8</v>
      </c>
      <c r="I8" s="34">
        <f>D8-E8</f>
        <v>700</v>
      </c>
      <c r="J8" s="33" t="str">
        <f>IF(H8&gt;=1,"Achieved",IF(H8&gt;=0.7,"On Track",IF(H8&gt;=0.4,"In Progress","Needs Attention")))</f>
        <v>On Track</v>
      </c>
    </row>
    <row r="9" spans="1:10" x14ac:dyDescent="0.3">
      <c r="A9" s="33" t="s">
        <v>371</v>
      </c>
      <c r="B9" s="33" t="s">
        <v>372</v>
      </c>
      <c r="C9" s="33" t="s">
        <v>373</v>
      </c>
      <c r="D9" s="34">
        <v>4000</v>
      </c>
      <c r="E9" s="34">
        <v>1600</v>
      </c>
      <c r="F9" s="34">
        <v>800</v>
      </c>
      <c r="G9" s="35">
        <v>46162</v>
      </c>
      <c r="H9" s="36">
        <f>E9/D9</f>
        <v>0.4</v>
      </c>
      <c r="I9" s="34">
        <f>D9-E9</f>
        <v>2400</v>
      </c>
      <c r="J9" s="33" t="str">
        <f>IF(H9&gt;=1,"Achieved",IF(H9&gt;=0.7,"On Track",IF(H9&gt;=0.4,"In Progress","Needs Attention")))</f>
        <v>In Progress</v>
      </c>
    </row>
    <row r="10" spans="1:10" x14ac:dyDescent="0.3">
      <c r="A10" s="33" t="s">
        <v>374</v>
      </c>
      <c r="B10" s="33" t="s">
        <v>375</v>
      </c>
      <c r="C10" s="33" t="s">
        <v>376</v>
      </c>
      <c r="D10" s="34">
        <v>2500</v>
      </c>
      <c r="E10" s="34">
        <v>1000</v>
      </c>
      <c r="F10" s="34">
        <v>300</v>
      </c>
      <c r="G10" s="35">
        <v>46265</v>
      </c>
      <c r="H10" s="36">
        <f>E10/D10</f>
        <v>0.4</v>
      </c>
      <c r="I10" s="34">
        <f>D10-E10</f>
        <v>1500</v>
      </c>
      <c r="J10" s="33" t="str">
        <f>IF(H10&gt;=1,"Achieved",IF(H10&gt;=0.7,"On Track",IF(H10&gt;=0.4,"In Progress","Needs Attention")))</f>
        <v>In Progress</v>
      </c>
    </row>
    <row r="11" spans="1:10" x14ac:dyDescent="0.3">
      <c r="A11" s="33" t="s">
        <v>377</v>
      </c>
      <c r="B11" s="33" t="s">
        <v>378</v>
      </c>
      <c r="C11" s="33" t="s">
        <v>379</v>
      </c>
      <c r="D11" s="34">
        <v>2000</v>
      </c>
      <c r="E11" s="34">
        <v>1400</v>
      </c>
      <c r="F11" s="34">
        <v>300</v>
      </c>
      <c r="G11" s="35">
        <v>46213</v>
      </c>
      <c r="H11" s="36">
        <f>E11/D11</f>
        <v>0.7</v>
      </c>
      <c r="I11" s="34">
        <f>D11-E11</f>
        <v>600</v>
      </c>
      <c r="J11" s="33" t="str">
        <f>IF(H11&gt;=1,"Achieved",IF(H11&gt;=0.7,"On Track",IF(H11&gt;=0.4,"In Progress","Needs Attention")))</f>
        <v>On Track</v>
      </c>
    </row>
    <row r="12" spans="1:10" x14ac:dyDescent="0.3">
      <c r="A12" s="37"/>
      <c r="B12" s="37" t="s">
        <v>349</v>
      </c>
      <c r="C12" s="37"/>
      <c r="D12" s="38">
        <f>SUM(D7:D11)</f>
        <v>17000</v>
      </c>
      <c r="E12" s="38">
        <f>SUM(E7:E11)</f>
        <v>10300</v>
      </c>
      <c r="F12" s="38">
        <f>SUM(F7:F11)</f>
        <v>2600</v>
      </c>
      <c r="G12" s="37"/>
      <c r="H12" s="39">
        <f>IFERROR(E12/D12,0)</f>
        <v>0.60588235294117643</v>
      </c>
      <c r="I12" s="38">
        <f>SUM(I7:I11)</f>
        <v>6700</v>
      </c>
      <c r="J12" s="37"/>
    </row>
  </sheetData>
  <mergeCells count="1">
    <mergeCell ref="A1:J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F3" sqref="F3"/>
    </sheetView>
  </sheetViews>
  <sheetFormatPr defaultRowHeight="14.4" x14ac:dyDescent="0.3"/>
  <cols>
    <col min="1" max="1" width="13.77734375" style="1" bestFit="1" customWidth="1"/>
    <col min="2" max="2" width="7.6640625" style="1" bestFit="1" customWidth="1"/>
    <col min="3" max="16384" width="8.88671875" style="1"/>
  </cols>
  <sheetData>
    <row r="1" spans="1:2" x14ac:dyDescent="0.3">
      <c r="A1" s="4" t="s">
        <v>3</v>
      </c>
      <c r="B1" s="4" t="s">
        <v>2</v>
      </c>
    </row>
    <row r="2" spans="1:2" x14ac:dyDescent="0.3">
      <c r="A2" s="1" t="s">
        <v>9</v>
      </c>
      <c r="B2" s="1" t="s">
        <v>8</v>
      </c>
    </row>
    <row r="3" spans="1:2" x14ac:dyDescent="0.3">
      <c r="A3" s="1" t="s">
        <v>29</v>
      </c>
      <c r="B3" s="1" t="s">
        <v>8</v>
      </c>
    </row>
    <row r="4" spans="1:2" x14ac:dyDescent="0.3">
      <c r="A4" s="1" t="s">
        <v>120</v>
      </c>
      <c r="B4" s="1" t="s">
        <v>8</v>
      </c>
    </row>
    <row r="5" spans="1:2" x14ac:dyDescent="0.3">
      <c r="A5" s="1" t="s">
        <v>67</v>
      </c>
      <c r="B5" s="1" t="s">
        <v>8</v>
      </c>
    </row>
    <row r="6" spans="1:2" x14ac:dyDescent="0.3">
      <c r="A6" s="1" t="s">
        <v>14</v>
      </c>
      <c r="B6" s="1" t="s">
        <v>13</v>
      </c>
    </row>
    <row r="7" spans="1:2" x14ac:dyDescent="0.3">
      <c r="A7" s="1" t="s">
        <v>17</v>
      </c>
      <c r="B7" s="1" t="s">
        <v>13</v>
      </c>
    </row>
    <row r="8" spans="1:2" x14ac:dyDescent="0.3">
      <c r="A8" s="1" t="s">
        <v>23</v>
      </c>
      <c r="B8" s="1" t="s">
        <v>13</v>
      </c>
    </row>
    <row r="9" spans="1:2" x14ac:dyDescent="0.3">
      <c r="A9" s="1" t="s">
        <v>49</v>
      </c>
      <c r="B9" s="1" t="s">
        <v>13</v>
      </c>
    </row>
    <row r="10" spans="1:2" x14ac:dyDescent="0.3">
      <c r="A10" s="1" t="s">
        <v>26</v>
      </c>
      <c r="B10" s="1" t="s">
        <v>13</v>
      </c>
    </row>
    <row r="11" spans="1:2" x14ac:dyDescent="0.3">
      <c r="A11" s="1" t="s">
        <v>36</v>
      </c>
      <c r="B11" s="1" t="s">
        <v>13</v>
      </c>
    </row>
    <row r="12" spans="1:2" x14ac:dyDescent="0.3">
      <c r="A12" s="1" t="s">
        <v>41</v>
      </c>
      <c r="B12" s="1" t="s">
        <v>13</v>
      </c>
    </row>
    <row r="13" spans="1:2" x14ac:dyDescent="0.3">
      <c r="A13" s="1" t="s">
        <v>58</v>
      </c>
      <c r="B13" s="1" t="s">
        <v>13</v>
      </c>
    </row>
    <row r="14" spans="1:2" x14ac:dyDescent="0.3">
      <c r="A14" s="1" t="s">
        <v>131</v>
      </c>
      <c r="B14" s="1" t="s">
        <v>13</v>
      </c>
    </row>
    <row r="15" spans="1:2" x14ac:dyDescent="0.3">
      <c r="A15" s="1" t="s">
        <v>132</v>
      </c>
      <c r="B15" s="1" t="s">
        <v>13</v>
      </c>
    </row>
    <row r="16" spans="1:2" x14ac:dyDescent="0.3">
      <c r="A16" s="1" t="s">
        <v>133</v>
      </c>
      <c r="B16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Dashboard</vt:lpstr>
      <vt:lpstr>Transactions</vt:lpstr>
      <vt:lpstr>Budget</vt:lpstr>
      <vt:lpstr>Monthly Summary</vt:lpstr>
      <vt:lpstr>Savings Goals</vt:lpstr>
      <vt:lpstr>Categories</vt:lpstr>
      <vt:lpstr>Budget!data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Manik M</cp:lastModifiedBy>
  <dcterms:created xsi:type="dcterms:W3CDTF">2026-10-23T06:04:53Z</dcterms:created>
  <dcterms:modified xsi:type="dcterms:W3CDTF">2026-10-23T18:08:34Z</dcterms:modified>
</cp:coreProperties>
</file>